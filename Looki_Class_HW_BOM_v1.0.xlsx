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Cover" sheetId="1" r:id="rId1"/>
    <sheet name="01_BOM_Main" sheetId="2" r:id="rId2"/>
    <sheet name="02_Alternates" sheetId="3" r:id="rId3"/>
    <sheet name="03_Cost_Curve" sheetId="4" r:id="rId4"/>
    <sheet name="04_NRE_CapEx" sheetId="5" r:id="rId5"/>
    <sheet name="05_Risk_Register" sheetId="6" r:id="rId6"/>
    <sheet name="06_Notes_AvoidPits" sheetId="7" r:id="rId7"/>
  </sheets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"/>
  </numFmts>
  <fonts count="6">
    <font>
      <sz val="11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1"/>
      <name val="Calibri"/>
    </font>
    <font>
      <b/>
      <sz val="11"/>
      <color rgb="FF7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699"/>
        <bgColor indexed="64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164" fontId="3" fillId="0" borderId="1" xfId="0" applyFont="1" applyBorder="1" applyAlignment="1">
      <alignment vertical="center"/>
    </xf>
    <xf numFmtId="165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164" fontId="4" fillId="9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4" customWidth="1"/>
    <col min="2" max="2" width="60" customWidth="1"/>
    <col min="3" max="3" width="12" customWidth="1"/>
    <col min="4" max="4" width="12" customWidth="1"/>
    <col min="5" max="5" width="12" customWidth="1"/>
    <col min="6" max="6" width="12" customWidth="1"/>
  </cols>
  <sheetData>
    <row r="1" ht="32" customHeight="1">
      <c r="A1" s="1" t="inlineStr">
        <is>
          <t xml:space="preserve">Looki-Class Wearable AI Capture Device  —  Hardware BOM v1.0</t>
        </is>
      </c>
      <c r="B1" s="1"/>
      <c r="C1" s="1"/>
      <c r="D1" s="1"/>
      <c r="E1" s="1"/>
      <c r="F1" s="1"/>
    </row>
    <row r="2">
      <c r="A2" s="0"/>
      <c r="B2" s="0"/>
      <c r="C2" s="0"/>
      <c r="D2" s="0"/>
      <c r="E2" s="0"/>
      <c r="F2" s="0"/>
    </row>
    <row r="3">
      <c r="A3" s="14" t="inlineStr">
        <is>
          <t xml:space="preserve">Project Code</t>
        </is>
      </c>
      <c r="B3" s="3" t="inlineStr">
        <is>
          <t xml:space="preserve">LOOKI-X1</t>
        </is>
      </c>
      <c r="C3" s="0"/>
      <c r="D3" s="0"/>
      <c r="E3" s="0"/>
      <c r="F3" s="0"/>
    </row>
    <row r="4">
      <c r="A4" s="14" t="inlineStr">
        <is>
          <t xml:space="preserve">Document Owner</t>
        </is>
      </c>
      <c r="B4" s="3" t="inlineStr">
        <is>
          <t xml:space="preserve">Hardware Architect</t>
        </is>
      </c>
      <c r="C4" s="0"/>
      <c r="D4" s="0"/>
      <c r="E4" s="0"/>
      <c r="F4" s="0"/>
    </row>
    <row r="5">
      <c r="A5" s="14" t="inlineStr">
        <is>
          <t xml:space="preserve">Date</t>
        </is>
      </c>
      <c r="B5" s="3" t="inlineStr">
        <is>
          <t xml:space="preserve">2026-05-18</t>
        </is>
      </c>
      <c r="C5" s="0"/>
      <c r="D5" s="0"/>
      <c r="E5" s="0"/>
      <c r="F5" s="0"/>
    </row>
    <row r="6">
      <c r="A6" s="14" t="inlineStr">
        <is>
          <t xml:space="preserve">Build Phase</t>
        </is>
      </c>
      <c r="B6" s="3" t="inlineStr">
        <is>
          <t xml:space="preserve">EVT-ready, costed @ MP 10K MOQ</t>
        </is>
      </c>
      <c r="C6" s="0"/>
      <c r="D6" s="0"/>
      <c r="E6" s="0"/>
      <c r="F6" s="0"/>
    </row>
    <row r="7">
      <c r="A7" s="14" t="inlineStr">
        <is>
          <t xml:space="preserve">Currency</t>
        </is>
      </c>
      <c r="B7" s="3" t="inlineStr">
        <is>
          <t xml:space="preserve">USD (10K MOQ landed cost)</t>
        </is>
      </c>
      <c r="C7" s="0"/>
      <c r="D7" s="0"/>
      <c r="E7" s="0"/>
      <c r="F7" s="0"/>
    </row>
    <row r="8">
      <c r="A8" s="14" t="inlineStr">
        <is>
          <t xml:space="preserve">Target FOB</t>
        </is>
      </c>
      <c r="B8" s="3" t="inlineStr">
        <is>
          <t xml:space="preserve">$35.00 / unit @ 10K</t>
        </is>
      </c>
      <c r="C8" s="0"/>
      <c r="D8" s="0"/>
      <c r="E8" s="0"/>
      <c r="F8" s="0"/>
    </row>
    <row r="9">
      <c r="A9" s="14" t="inlineStr">
        <is>
          <t xml:space="preserve">Target MSRP</t>
        </is>
      </c>
      <c r="B9" s="3" t="inlineStr">
        <is>
          <t xml:space="preserve">$149 / unit</t>
        </is>
      </c>
      <c r="C9" s="0"/>
      <c r="D9" s="0"/>
      <c r="E9" s="0"/>
      <c r="F9" s="0"/>
    </row>
    <row r="10">
      <c r="A10" s="14" t="inlineStr">
        <is>
          <t xml:space="preserve">Target Weight</t>
        </is>
      </c>
      <c r="B10" s="3" t="inlineStr">
        <is>
          <t xml:space="preserve">&lt;= 22 g</t>
        </is>
      </c>
      <c r="C10" s="0"/>
      <c r="D10" s="0"/>
      <c r="E10" s="0"/>
      <c r="F10" s="0"/>
    </row>
    <row r="11">
      <c r="A11" s="14" t="inlineStr">
        <is>
          <t xml:space="preserve">Target IP Rating</t>
        </is>
      </c>
      <c r="B11" s="3" t="inlineStr">
        <is>
          <t xml:space="preserve">IP67 (diff. SKU) / IP54 (base)</t>
        </is>
      </c>
      <c r="C11" s="0"/>
      <c r="D11" s="0"/>
      <c r="E11" s="0"/>
      <c r="F11" s="0"/>
    </row>
    <row r="12">
      <c r="A12" s="14" t="inlineStr">
        <is>
          <t xml:space="preserve">Battery</t>
        </is>
      </c>
      <c r="B12" s="3" t="inlineStr">
        <is>
          <t xml:space="preserve">Li-Po 350 mAh, UN38.3</t>
        </is>
      </c>
      <c r="C12" s="0"/>
      <c r="D12" s="0"/>
      <c r="E12" s="0"/>
      <c r="F12" s="0"/>
    </row>
    <row r="13">
      <c r="A13" s="0"/>
      <c r="B13" s="0"/>
      <c r="C13" s="0"/>
      <c r="D13" s="0"/>
      <c r="E13" s="0"/>
      <c r="F13" s="0"/>
    </row>
    <row r="14">
      <c r="A14" s="12" t="inlineStr">
        <is>
          <t xml:space="preserve">Sheet Index</t>
        </is>
      </c>
      <c r="B14" s="0"/>
      <c r="C14" s="0"/>
      <c r="D14" s="0"/>
      <c r="E14" s="0"/>
      <c r="F14" s="0"/>
    </row>
    <row r="15">
      <c r="A15" s="14" t="inlineStr">
        <is>
          <t xml:space="preserve">01_BOM_Main</t>
        </is>
      </c>
      <c r="B15" s="3" t="inlineStr">
        <is>
          <t xml:space="preserve">完整主 BOM（60 项），按子系统分组、标 Tier/Risk</t>
        </is>
      </c>
      <c r="C15" s="0"/>
      <c r="D15" s="0"/>
      <c r="E15" s="0"/>
      <c r="F15" s="0"/>
    </row>
    <row r="16">
      <c r="A16" s="14" t="inlineStr">
        <is>
          <t xml:space="preserve">02_Alternates</t>
        </is>
      </c>
      <c r="B16" s="3" t="inlineStr">
        <is>
          <t xml:space="preserve">关键料替代矩阵（Alt-1 / Alt-2 + 切换难度）</t>
        </is>
      </c>
      <c r="C16" s="0"/>
      <c r="D16" s="0"/>
      <c r="E16" s="0"/>
      <c r="F16" s="0"/>
    </row>
    <row r="17">
      <c r="A17" s="14" t="inlineStr">
        <is>
          <t xml:space="preserve">03_Cost_Curve</t>
        </is>
      </c>
      <c r="B17" s="3" t="inlineStr">
        <is>
          <t xml:space="preserve">EVT→DVT→PVT→MP 量产规模成本下降曲线</t>
        </is>
      </c>
      <c r="C17" s="0"/>
      <c r="D17" s="0"/>
      <c r="E17" s="0"/>
      <c r="F17" s="0"/>
    </row>
    <row r="18">
      <c r="A18" s="14" t="inlineStr">
        <is>
          <t xml:space="preserve">04_NRE_CapEx</t>
        </is>
      </c>
      <c r="B18" s="3" t="inlineStr">
        <is>
          <t xml:space="preserve">一次性投入：模具/PCB/治具/认证 (USD)</t>
        </is>
      </c>
      <c r="C18" s="0"/>
      <c r="D18" s="0"/>
      <c r="E18" s="0"/>
      <c r="F18" s="0"/>
    </row>
    <row r="19">
      <c r="A19" s="14" t="inlineStr">
        <is>
          <t xml:space="preserve">05_Risk_Register</t>
        </is>
      </c>
      <c r="B19" s="3" t="inlineStr">
        <is>
          <t xml:space="preserve">TOP-10 硬件量产风险及 Mitigation</t>
        </is>
      </c>
      <c r="C19" s="0"/>
      <c r="D19" s="0"/>
      <c r="E19" s="0"/>
      <c r="F19" s="0"/>
    </row>
    <row r="20">
      <c r="A20" s="14" t="inlineStr">
        <is>
          <t xml:space="preserve">06_Notes_AvoidPits</t>
        </is>
      </c>
      <c r="B20" s="3" t="inlineStr">
        <is>
          <t xml:space="preserve">BOM 使用约定 + 工程师必读的避坑要点</t>
        </is>
      </c>
      <c r="C20" s="0"/>
      <c r="D20" s="0"/>
      <c r="E20" s="0"/>
      <c r="F20" s="0"/>
    </row>
  </sheetData>
  <mergeCells count="1">
    <mergeCell ref="A1:F1"/>
  </mergeCells>
</worksheet>
</file>

<file path=xl/worksheets/sheet2.xml><?xml version="1.0" encoding="utf-8"?>
<worksheet xmlns="http://schemas.openxmlformats.org/spreadsheetml/2006/main">
  <sheetViews>
    <sheetView tabSelected="1" workbookViewId="0">
      <pane xSplit="2" ySplit="1" topLeftCell="C2" activePane="bottomRight" state="frozen"/>
    </sheetView>
  </sheetViews>
  <cols>
    <col min="1" max="1" width="5" customWidth="1"/>
    <col min="2" max="2" width="18" customWidth="1"/>
    <col min="3" max="3" width="32" customWidth="1"/>
    <col min="4" max="4" width="16" customWidth="1"/>
    <col min="5" max="5" width="26" customWidth="1"/>
    <col min="6" max="6" width="18" customWidth="1"/>
    <col min="7" max="7" width="42" customWidth="1"/>
    <col min="8" max="8" width="6" customWidth="1"/>
    <col min="9" max="9" width="12" customWidth="1"/>
    <col min="10" max="10" width="12" customWidth="1"/>
    <col min="11" max="11" width="22" customWidth="1"/>
    <col min="12" max="12" width="8" customWidth="1"/>
    <col min="13" max="13" width="7" customWidth="1"/>
    <col min="14" max="14" width="9" customWidth="1"/>
  </cols>
  <sheetData>
    <row r="1" ht="32" customHeight="1">
      <c r="A1" s="2" t="inlineStr">
        <is>
          <t xml:space="preserve">#</t>
        </is>
      </c>
      <c r="B1" s="2" t="inlineStr">
        <is>
          <t xml:space="preserve">Category</t>
        </is>
      </c>
      <c r="C1" s="2" t="inlineStr">
        <is>
          <t xml:space="preserve">Function / Sub-Block</t>
        </is>
      </c>
      <c r="D1" s="2" t="inlineStr">
        <is>
          <t xml:space="preserve">Manufacturer</t>
        </is>
      </c>
      <c r="E1" s="2" t="inlineStr">
        <is>
          <t xml:space="preserve">MPN</t>
        </is>
      </c>
      <c r="F1" s="2" t="inlineStr">
        <is>
          <t xml:space="preserve">Package</t>
        </is>
      </c>
      <c r="G1" s="2" t="inlineStr">
        <is>
          <t xml:space="preserve">Key Spec / Notes</t>
        </is>
      </c>
      <c r="H1" s="2" t="inlineStr">
        <is>
          <t xml:space="preserve">Qty</t>
        </is>
      </c>
      <c r="I1" s="2" t="inlineStr">
        <is>
          <t xml:space="preserve">Unit Cost USD
@10K MOQ</t>
        </is>
      </c>
      <c r="J1" s="2" t="inlineStr">
        <is>
          <t xml:space="preserve">Ext Cost USD</t>
        </is>
      </c>
      <c r="K1" s="2" t="inlineStr">
        <is>
          <t xml:space="preserve">Distributor / Source</t>
        </is>
      </c>
      <c r="L1" s="2" t="inlineStr">
        <is>
          <t xml:space="preserve">Lead Time (wk)</t>
        </is>
      </c>
      <c r="M1" s="2" t="inlineStr">
        <is>
          <t xml:space="preserve">Tier</t>
        </is>
      </c>
      <c r="N1" s="2" t="inlineStr">
        <is>
          <t xml:space="preserve">Risk Level</t>
        </is>
      </c>
    </row>
    <row r="2">
      <c r="A2" s="12" t="inlineStr">
        <is>
          <t xml:space="preserve">1. Main SoC</t>
        </is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>
      <c r="A3" s="5" t="n">
        <v>1</v>
      </c>
      <c r="B3" s="3" t="inlineStr">
        <is>
          <t xml:space="preserve">1. Main SoC</t>
        </is>
      </c>
      <c r="C3" s="3" t="inlineStr">
        <is>
          <t xml:space="preserve">Application SoC (ISP+NPU+WiFi/BLE)</t>
        </is>
      </c>
      <c r="D3" s="3" t="inlineStr">
        <is>
          <t xml:space="preserve">SigmaStar</t>
        </is>
      </c>
      <c r="E3" s="3" t="inlineStr">
        <is>
          <t xml:space="preserve">SSC338Q</t>
        </is>
      </c>
      <c r="F3" s="3" t="inlineStr">
        <is>
          <t xml:space="preserve">LFBGA-260, 9.5x9.5mm</t>
        </is>
      </c>
      <c r="G3" s="3" t="inlineStr">
        <is>
          <t xml:space="preserve">2x A7@1GHz, 0.5T NPU, 5MP ISP, ext Wi-Fi</t>
        </is>
      </c>
      <c r="H3" s="5" t="n">
        <v>1</v>
      </c>
      <c r="I3" s="4" t="n">
        <v>4.5</v>
      </c>
      <c r="J3" s="4">
        <f>H3*I3</f>
      </c>
      <c r="K3" s="3" t="inlineStr">
        <is>
          <t xml:space="preserve">Sertek / WPI</t>
        </is>
      </c>
      <c r="L3" s="5" t="n">
        <v>12</v>
      </c>
      <c r="M3" s="6" t="inlineStr">
        <is>
          <t xml:space="preserve">T1</t>
        </is>
      </c>
      <c r="N3" s="10" t="inlineStr">
        <is>
          <t xml:space="preserve">Med</t>
        </is>
      </c>
    </row>
    <row r="4">
      <c r="A4" s="5" t="n">
        <v>2</v>
      </c>
      <c r="B4" s="3" t="inlineStr">
        <is>
          <t xml:space="preserve">1. Main SoC</t>
        </is>
      </c>
      <c r="C4" s="3" t="inlineStr">
        <is>
          <t xml:space="preserve">Wi-Fi/BLE Combo (ext)</t>
        </is>
      </c>
      <c r="D4" s="3" t="inlineStr">
        <is>
          <t xml:space="preserve">Realtek</t>
        </is>
      </c>
      <c r="E4" s="3" t="inlineStr">
        <is>
          <t xml:space="preserve">RTL8821CS</t>
        </is>
      </c>
      <c r="F4" s="3" t="inlineStr">
        <is>
          <t xml:space="preserve">QFN-40</t>
        </is>
      </c>
      <c r="G4" s="3" t="inlineStr">
        <is>
          <t xml:space="preserve">Wi-Fi 5 + BT 5.0, SDIO/UART</t>
        </is>
      </c>
      <c r="H4" s="5" t="n">
        <v>1</v>
      </c>
      <c r="I4" s="4" t="n">
        <v>1.8</v>
      </c>
      <c r="J4" s="4">
        <f>H4*I4</f>
      </c>
      <c r="K4" s="3" t="inlineStr">
        <is>
          <t xml:space="preserve">WPG / Realtek</t>
        </is>
      </c>
      <c r="L4" s="5" t="n">
        <v>10</v>
      </c>
      <c r="M4" s="6" t="inlineStr">
        <is>
          <t xml:space="preserve">T1</t>
        </is>
      </c>
      <c r="N4" s="11" t="inlineStr">
        <is>
          <t xml:space="preserve">Low</t>
        </is>
      </c>
    </row>
    <row r="5">
      <c r="A5" s="5" t="n">
        <v>3</v>
      </c>
      <c r="B5" s="3" t="inlineStr">
        <is>
          <t xml:space="preserve">1. Main SoC</t>
        </is>
      </c>
      <c r="C5" s="3" t="inlineStr">
        <is>
          <t xml:space="preserve">DDR2 SDRAM (PoP/side)</t>
        </is>
      </c>
      <c r="D5" s="3" t="inlineStr">
        <is>
          <t xml:space="preserve">ESMT</t>
        </is>
      </c>
      <c r="E5" s="3" t="inlineStr">
        <is>
          <t xml:space="preserve">M14D5121632A-2.5BG</t>
        </is>
      </c>
      <c r="F5" s="3" t="inlineStr">
        <is>
          <t xml:space="preserve">FBGA-90</t>
        </is>
      </c>
      <c r="G5" s="3" t="inlineStr">
        <is>
          <t xml:space="preserve">512Mb DDR2 @ 333MHz</t>
        </is>
      </c>
      <c r="H5" s="5" t="n">
        <v>1</v>
      </c>
      <c r="I5" s="4" t="n">
        <v>1.2</v>
      </c>
      <c r="J5" s="4">
        <f>H5*I5</f>
      </c>
      <c r="K5" s="3" t="inlineStr">
        <is>
          <t xml:space="preserve">ESMT direct</t>
        </is>
      </c>
      <c r="L5" s="5" t="n">
        <v>8</v>
      </c>
      <c r="M5" s="6" t="inlineStr">
        <is>
          <t xml:space="preserve">T1</t>
        </is>
      </c>
      <c r="N5" s="11" t="inlineStr">
        <is>
          <t xml:space="preserve">Low</t>
        </is>
      </c>
    </row>
    <row r="6">
      <c r="A6" s="5" t="n">
        <v>4</v>
      </c>
      <c r="B6" s="3" t="inlineStr">
        <is>
          <t xml:space="preserve">1. Main SoC</t>
        </is>
      </c>
      <c r="C6" s="3" t="inlineStr">
        <is>
          <t xml:space="preserve">SPI NOR Flash (boot+kernel)</t>
        </is>
      </c>
      <c r="D6" s="3" t="inlineStr">
        <is>
          <t xml:space="preserve">Winbond</t>
        </is>
      </c>
      <c r="E6" s="3" t="inlineStr">
        <is>
          <t xml:space="preserve">W25Q128JVSIQ</t>
        </is>
      </c>
      <c r="F6" s="3" t="inlineStr">
        <is>
          <t xml:space="preserve">SOIC-8 208mil</t>
        </is>
      </c>
      <c r="G6" s="3" t="inlineStr">
        <is>
          <t xml:space="preserve">128Mbit, 1.8/3.3V, QSPI</t>
        </is>
      </c>
      <c r="H6" s="5" t="n">
        <v>1</v>
      </c>
      <c r="I6" s="4" t="n">
        <v>0.65</v>
      </c>
      <c r="J6" s="4">
        <f>H6*I6</f>
      </c>
      <c r="K6" s="3" t="inlineStr">
        <is>
          <t xml:space="preserve">Avnet</t>
        </is>
      </c>
      <c r="L6" s="5" t="n">
        <v>8</v>
      </c>
      <c r="M6" s="7" t="inlineStr">
        <is>
          <t xml:space="preserve">T2</t>
        </is>
      </c>
      <c r="N6" s="11" t="inlineStr">
        <is>
          <t xml:space="preserve">Low</t>
        </is>
      </c>
    </row>
    <row r="7">
      <c r="A7" s="5" t="n">
        <v>5</v>
      </c>
      <c r="B7" s="3" t="inlineStr">
        <is>
          <t xml:space="preserve">1. Main SoC</t>
        </is>
      </c>
      <c r="C7" s="3" t="inlineStr">
        <is>
          <t xml:space="preserve">eMMC 5.1 (storage)</t>
        </is>
      </c>
      <c r="D7" s="3" t="inlineStr">
        <is>
          <t xml:space="preserve">Kioxia</t>
        </is>
      </c>
      <c r="E7" s="3" t="inlineStr">
        <is>
          <t xml:space="preserve">THGBMNG5D1LBAIL</t>
        </is>
      </c>
      <c r="F7" s="3" t="inlineStr">
        <is>
          <t xml:space="preserve">BGA-153</t>
        </is>
      </c>
      <c r="G7" s="3" t="inlineStr">
        <is>
          <t xml:space="preserve">8GB eMMC 5.1, HS400</t>
        </is>
      </c>
      <c r="H7" s="5" t="n">
        <v>1</v>
      </c>
      <c r="I7" s="4" t="n">
        <v>3.4</v>
      </c>
      <c r="J7" s="4">
        <f>H7*I7</f>
      </c>
      <c r="K7" s="3" t="inlineStr">
        <is>
          <t xml:space="preserve">Kioxia / WPI</t>
        </is>
      </c>
      <c r="L7" s="5" t="n">
        <v>14</v>
      </c>
      <c r="M7" s="6" t="inlineStr">
        <is>
          <t xml:space="preserve">T1</t>
        </is>
      </c>
      <c r="N7" s="10" t="inlineStr">
        <is>
          <t xml:space="preserve">Med</t>
        </is>
      </c>
    </row>
    <row r="8">
      <c r="A8" s="12" t="inlineStr">
        <is>
          <t xml:space="preserve">2. AON MCU</t>
        </is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>
      <c r="A9" s="5" t="n">
        <v>6</v>
      </c>
      <c r="B9" s="3" t="inlineStr">
        <is>
          <t xml:space="preserve">2. AON MCU</t>
        </is>
      </c>
      <c r="C9" s="3" t="inlineStr">
        <is>
          <t xml:space="preserve">Always-On / sensor hub</t>
        </is>
      </c>
      <c r="D9" s="3" t="inlineStr">
        <is>
          <t xml:space="preserve">Nordic</t>
        </is>
      </c>
      <c r="E9" s="3" t="inlineStr">
        <is>
          <t xml:space="preserve">nRF5340-QKAA</t>
        </is>
      </c>
      <c r="F9" s="3" t="inlineStr">
        <is>
          <t xml:space="preserve">aQFN-94 7x7mm</t>
        </is>
      </c>
      <c r="G9" s="3" t="inlineStr">
        <is>
          <t xml:space="preserve">Dual-core M33, BLE 5.4, &lt; 3uA sleep</t>
        </is>
      </c>
      <c r="H9" s="5" t="n">
        <v>1</v>
      </c>
      <c r="I9" s="4" t="n">
        <v>4.2</v>
      </c>
      <c r="J9" s="4">
        <f>H9*I9</f>
      </c>
      <c r="K9" s="3" t="inlineStr">
        <is>
          <t xml:space="preserve">Nordic / Mouser</t>
        </is>
      </c>
      <c r="L9" s="5" t="n">
        <v>10</v>
      </c>
      <c r="M9" s="6" t="inlineStr">
        <is>
          <t xml:space="preserve">T1</t>
        </is>
      </c>
      <c r="N9" s="11" t="inlineStr">
        <is>
          <t xml:space="preserve">Low</t>
        </is>
      </c>
    </row>
    <row r="10">
      <c r="A10" s="5" t="n">
        <v>7</v>
      </c>
      <c r="B10" s="3" t="inlineStr">
        <is>
          <t xml:space="preserve">2. AON MCU</t>
        </is>
      </c>
      <c r="C10" s="3" t="inlineStr">
        <is>
          <t xml:space="preserve">AON external 32.768kHz XTAL</t>
        </is>
      </c>
      <c r="D10" s="3" t="inlineStr">
        <is>
          <t xml:space="preserve">Epson</t>
        </is>
      </c>
      <c r="E10" s="3" t="inlineStr">
        <is>
          <t xml:space="preserve">FC-135 32.768kHz</t>
        </is>
      </c>
      <c r="F10" s="3" t="inlineStr">
        <is>
          <t xml:space="preserve">3.2x1.5mm</t>
        </is>
      </c>
      <c r="G10" s="3" t="inlineStr">
        <is>
          <t xml:space="preserve">+/-20ppm, CL=12.5pF</t>
        </is>
      </c>
      <c r="H10" s="5" t="n">
        <v>1</v>
      </c>
      <c r="I10" s="4" t="n">
        <v>0.18</v>
      </c>
      <c r="J10" s="4">
        <f>H10*I10</f>
      </c>
      <c r="K10" s="3" t="inlineStr">
        <is>
          <t xml:space="preserve">Epson / Digikey</t>
        </is>
      </c>
      <c r="L10" s="5" t="n">
        <v>6</v>
      </c>
      <c r="M10" s="7" t="inlineStr">
        <is>
          <t xml:space="preserve">T2</t>
        </is>
      </c>
      <c r="N10" s="11" t="inlineStr">
        <is>
          <t xml:space="preserve">Low</t>
        </is>
      </c>
    </row>
    <row r="11">
      <c r="A11" s="12" t="inlineStr">
        <is>
          <t xml:space="preserve">3. Imaging Main</t>
        </is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>
      <c r="A12" s="5" t="n">
        <v>8</v>
      </c>
      <c r="B12" s="3" t="inlineStr">
        <is>
          <t xml:space="preserve">3. Imaging Main</t>
        </is>
      </c>
      <c r="C12" s="3" t="inlineStr">
        <is>
          <t xml:space="preserve">CMOS Image Sensor (Main)</t>
        </is>
      </c>
      <c r="D12" s="3" t="inlineStr">
        <is>
          <t xml:space="preserve">OmniVision</t>
        </is>
      </c>
      <c r="E12" s="3" t="inlineStr">
        <is>
          <t xml:space="preserve">OV13B10</t>
        </is>
      </c>
      <c r="F12" s="3" t="inlineStr">
        <is>
          <t xml:space="preserve">CSP</t>
        </is>
      </c>
      <c r="G12" s="3" t="inlineStr">
        <is>
          <t xml:space="preserve">13MP, 1.12um BSI, MIPI 4-lane</t>
        </is>
      </c>
      <c r="H12" s="5" t="n">
        <v>1</v>
      </c>
      <c r="I12" s="4" t="n">
        <v>4.0</v>
      </c>
      <c r="J12" s="4">
        <f>H12*I12</f>
      </c>
      <c r="K12" s="3" t="inlineStr">
        <is>
          <t xml:space="preserve">OmniVision / WPG</t>
        </is>
      </c>
      <c r="L12" s="5" t="n">
        <v>14</v>
      </c>
      <c r="M12" s="6" t="inlineStr">
        <is>
          <t xml:space="preserve">T1</t>
        </is>
      </c>
      <c r="N12" s="10" t="inlineStr">
        <is>
          <t xml:space="preserve">Med</t>
        </is>
      </c>
    </row>
    <row r="13">
      <c r="A13" s="5" t="n">
        <v>9</v>
      </c>
      <c r="B13" s="3" t="inlineStr">
        <is>
          <t xml:space="preserve">3. Imaging Main</t>
        </is>
      </c>
      <c r="C13" s="3" t="inlineStr">
        <is>
          <t xml:space="preserve">Lens Module 6P (Main)</t>
        </is>
      </c>
      <c r="D13" s="3" t="inlineStr">
        <is>
          <t xml:space="preserve">Sunny Optical</t>
        </is>
      </c>
      <c r="E13" s="3" t="inlineStr">
        <is>
          <t xml:space="preserve">SY-Custom-6P-F18</t>
        </is>
      </c>
      <c r="F13" s="3" t="inlineStr">
        <is>
          <t xml:space="preserve">Custom</t>
        </is>
      </c>
      <c r="G13" s="3" t="inlineStr">
        <is>
          <t xml:space="preserve">6P, F/1.8, 105 deg DFOV, TTL 4.3mm</t>
        </is>
      </c>
      <c r="H13" s="5" t="n">
        <v>1</v>
      </c>
      <c r="I13" s="4" t="n">
        <v>6.5</v>
      </c>
      <c r="J13" s="4">
        <f>H13*I13</f>
      </c>
      <c r="K13" s="3" t="inlineStr">
        <is>
          <t xml:space="preserve">Sunny / OFilm</t>
        </is>
      </c>
      <c r="L13" s="5" t="n">
        <v>16</v>
      </c>
      <c r="M13" s="6" t="inlineStr">
        <is>
          <t xml:space="preserve">T1</t>
        </is>
      </c>
      <c r="N13" s="9" t="inlineStr">
        <is>
          <t xml:space="preserve">High</t>
        </is>
      </c>
    </row>
    <row r="14">
      <c r="A14" s="5" t="n">
        <v>10</v>
      </c>
      <c r="B14" s="3" t="inlineStr">
        <is>
          <t xml:space="preserve">3. Imaging Main</t>
        </is>
      </c>
      <c r="C14" s="3" t="inlineStr">
        <is>
          <t xml:space="preserve">AA Active-Alignment assembly</t>
        </is>
      </c>
      <c r="D14" s="3" t="inlineStr">
        <is>
          <t xml:space="preserve">Sunny Optical</t>
        </is>
      </c>
      <c r="E14" s="3" t="inlineStr">
        <is>
          <t xml:space="preserve">SY-AA-Service</t>
        </is>
      </c>
      <c r="F14" s="3" t="inlineStr">
        <is>
          <t xml:space="preserve">Service fee</t>
        </is>
      </c>
      <c r="G14" s="3" t="inlineStr">
        <is>
          <t xml:space="preserve">Active Alignment, MTF &gt;= 0.45@Nyquist/2</t>
        </is>
      </c>
      <c r="H14" s="5" t="n">
        <v>1</v>
      </c>
      <c r="I14" s="4" t="n">
        <v>1.8</v>
      </c>
      <c r="J14" s="4">
        <f>H14*I14</f>
      </c>
      <c r="K14" s="3" t="inlineStr">
        <is>
          <t xml:space="preserve">Sunny</t>
        </is>
      </c>
      <c r="L14" s="5" t="n">
        <v>0</v>
      </c>
      <c r="M14" s="6" t="inlineStr">
        <is>
          <t xml:space="preserve">T1</t>
        </is>
      </c>
      <c r="N14" s="10" t="inlineStr">
        <is>
          <t xml:space="preserve">Med</t>
        </is>
      </c>
    </row>
    <row r="15">
      <c r="A15" s="5" t="n">
        <v>11</v>
      </c>
      <c r="B15" s="3" t="inlineStr">
        <is>
          <t xml:space="preserve">3. Imaging Main</t>
        </is>
      </c>
      <c r="C15" s="3" t="inlineStr">
        <is>
          <t xml:space="preserve">VCM (optional, fixed-focus skip)</t>
        </is>
      </c>
      <c r="D15" s="3" t="inlineStr">
        <is>
          <t xml:space="preserve">N/A</t>
        </is>
      </c>
      <c r="E15" s="3" t="inlineStr">
        <is>
          <t xml:space="preserve">-</t>
        </is>
      </c>
      <c r="F15" s="3" t="inlineStr">
        <is>
          <t xml:space="preserve">-</t>
        </is>
      </c>
      <c r="G15" s="3" t="inlineStr">
        <is>
          <t xml:space="preserve">Fixed focus, no VCM (cost saving)</t>
        </is>
      </c>
      <c r="H15" s="5" t="n">
        <v>0</v>
      </c>
      <c r="I15" s="4" t="n">
        <v>0.0</v>
      </c>
      <c r="J15" s="4">
        <f>H15*I15</f>
      </c>
      <c r="K15" s="3" t="inlineStr">
        <is>
          <t xml:space="preserve">-</t>
        </is>
      </c>
      <c r="L15" s="5" t="n">
        <v>0</v>
      </c>
      <c r="M15" s="8" t="inlineStr">
        <is>
          <t xml:space="preserve">T3</t>
        </is>
      </c>
      <c r="N15" s="11" t="inlineStr">
        <is>
          <t xml:space="preserve">Low</t>
        </is>
      </c>
    </row>
    <row r="16">
      <c r="A16" s="5" t="n">
        <v>12</v>
      </c>
      <c r="B16" s="3" t="inlineStr">
        <is>
          <t xml:space="preserve">3. Imaging Main</t>
        </is>
      </c>
      <c r="C16" s="3" t="inlineStr">
        <is>
          <t xml:space="preserve">Sensor decoupling caps (set)</t>
        </is>
      </c>
      <c r="D16" s="3" t="inlineStr">
        <is>
          <t xml:space="preserve">Murata</t>
        </is>
      </c>
      <c r="E16" s="3" t="inlineStr">
        <is>
          <t xml:space="preserve">GRM155 series</t>
        </is>
      </c>
      <c r="F16" s="3" t="inlineStr">
        <is>
          <t xml:space="preserve">0402</t>
        </is>
      </c>
      <c r="G16" s="3" t="inlineStr">
        <is>
          <t xml:space="preserve">10x 100nF + 4x 4.7uF X5R</t>
        </is>
      </c>
      <c r="H16" s="5" t="n">
        <v>1</v>
      </c>
      <c r="I16" s="4" t="n">
        <v>0.08</v>
      </c>
      <c r="J16" s="4">
        <f>H16*I16</f>
      </c>
      <c r="K16" s="3" t="inlineStr">
        <is>
          <t xml:space="preserve">Murata / Digikey</t>
        </is>
      </c>
      <c r="L16" s="5" t="n">
        <v>4</v>
      </c>
      <c r="M16" s="7" t="inlineStr">
        <is>
          <t xml:space="preserve">T2</t>
        </is>
      </c>
      <c r="N16" s="11" t="inlineStr">
        <is>
          <t xml:space="preserve">Low</t>
        </is>
      </c>
    </row>
    <row r="17">
      <c r="A17" s="12" t="inlineStr">
        <is>
          <t xml:space="preserve">4. Imaging AON</t>
        </is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>
      <c r="A18" s="5" t="n">
        <v>13</v>
      </c>
      <c r="B18" s="3" t="inlineStr">
        <is>
          <t xml:space="preserve">4. Imaging AON</t>
        </is>
      </c>
      <c r="C18" s="3" t="inlineStr">
        <is>
          <t xml:space="preserve">Sub CMOS (event-trigger)</t>
        </is>
      </c>
      <c r="D18" s="3" t="inlineStr">
        <is>
          <t xml:space="preserve">GalaxyCore</t>
        </is>
      </c>
      <c r="E18" s="3" t="inlineStr">
        <is>
          <t xml:space="preserve">GC02M2</t>
        </is>
      </c>
      <c r="F18" s="3" t="inlineStr">
        <is>
          <t xml:space="preserve">CSP</t>
        </is>
      </c>
      <c r="G18" s="3" t="inlineStr">
        <is>
          <t xml:space="preserve">2MP, 1.75um, low-power MIPI/DVP</t>
        </is>
      </c>
      <c r="H18" s="5" t="n">
        <v>1</v>
      </c>
      <c r="I18" s="4" t="n">
        <v>1.2</v>
      </c>
      <c r="J18" s="4">
        <f>H18*I18</f>
      </c>
      <c r="K18" s="3" t="inlineStr">
        <is>
          <t xml:space="preserve">GalaxyCore</t>
        </is>
      </c>
      <c r="L18" s="5" t="n">
        <v>8</v>
      </c>
      <c r="M18" s="6" t="inlineStr">
        <is>
          <t xml:space="preserve">T1</t>
        </is>
      </c>
      <c r="N18" s="10" t="inlineStr">
        <is>
          <t xml:space="preserve">Med</t>
        </is>
      </c>
    </row>
    <row r="19">
      <c r="A19" s="5" t="n">
        <v>14</v>
      </c>
      <c r="B19" s="3" t="inlineStr">
        <is>
          <t xml:space="preserve">4. Imaging AON</t>
        </is>
      </c>
      <c r="C19" s="3" t="inlineStr">
        <is>
          <t xml:space="preserve">Sub Lens Module</t>
        </is>
      </c>
      <c r="D19" s="3" t="inlineStr">
        <is>
          <t xml:space="preserve">Q-Tech</t>
        </is>
      </c>
      <c r="E19" s="3" t="inlineStr">
        <is>
          <t xml:space="preserve">QT-Custom-5P1G</t>
        </is>
      </c>
      <c r="F19" s="3" t="inlineStr">
        <is>
          <t xml:space="preserve">Custom</t>
        </is>
      </c>
      <c r="G19" s="3" t="inlineStr">
        <is>
          <t xml:space="preserve">5P1G hybrid, F/2.0, 90 deg</t>
        </is>
      </c>
      <c r="H19" s="5" t="n">
        <v>1</v>
      </c>
      <c r="I19" s="4" t="n">
        <v>2.5</v>
      </c>
      <c r="J19" s="4">
        <f>H19*I19</f>
      </c>
      <c r="K19" s="3" t="inlineStr">
        <is>
          <t xml:space="preserve">Q-Tech</t>
        </is>
      </c>
      <c r="L19" s="5" t="n">
        <v>12</v>
      </c>
      <c r="M19" s="7" t="inlineStr">
        <is>
          <t xml:space="preserve">T2</t>
        </is>
      </c>
      <c r="N19" s="10" t="inlineStr">
        <is>
          <t xml:space="preserve">Med</t>
        </is>
      </c>
    </row>
    <row r="20">
      <c r="A20" s="12" t="inlineStr">
        <is>
          <t xml:space="preserve">5. Audio</t>
        </is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>
      <c r="A21" s="5" t="n">
        <v>15</v>
      </c>
      <c r="B21" s="3" t="inlineStr">
        <is>
          <t xml:space="preserve">5. Audio</t>
        </is>
      </c>
      <c r="C21" s="3" t="inlineStr">
        <is>
          <t xml:space="preserve">MEMS Mic (digital PDM) - left</t>
        </is>
      </c>
      <c r="D21" s="3" t="inlineStr">
        <is>
          <t xml:space="preserve">Knowles</t>
        </is>
      </c>
      <c r="E21" s="3" t="inlineStr">
        <is>
          <t xml:space="preserve">SPH0641LU4H-1</t>
        </is>
      </c>
      <c r="F21" s="3" t="inlineStr">
        <is>
          <t xml:space="preserve">LGA 3.5x2.65</t>
        </is>
      </c>
      <c r="G21" s="3" t="inlineStr">
        <is>
          <t xml:space="preserve">PDM, AOP=120dB, ALD anti-liquid</t>
        </is>
      </c>
      <c r="H21" s="5" t="n">
        <v>1</v>
      </c>
      <c r="I21" s="4" t="n">
        <v>1.6</v>
      </c>
      <c r="J21" s="4">
        <f>H21*I21</f>
      </c>
      <c r="K21" s="3" t="inlineStr">
        <is>
          <t xml:space="preserve">Knowles / Avnet</t>
        </is>
      </c>
      <c r="L21" s="5" t="n">
        <v>10</v>
      </c>
      <c r="M21" s="6" t="inlineStr">
        <is>
          <t xml:space="preserve">T1</t>
        </is>
      </c>
      <c r="N21" s="11" t="inlineStr">
        <is>
          <t xml:space="preserve">Low</t>
        </is>
      </c>
    </row>
    <row r="22">
      <c r="A22" s="5" t="n">
        <v>16</v>
      </c>
      <c r="B22" s="3" t="inlineStr">
        <is>
          <t xml:space="preserve">5. Audio</t>
        </is>
      </c>
      <c r="C22" s="3" t="inlineStr">
        <is>
          <t xml:space="preserve">MEMS Mic (digital PDM) - right</t>
        </is>
      </c>
      <c r="D22" s="3" t="inlineStr">
        <is>
          <t xml:space="preserve">Knowles</t>
        </is>
      </c>
      <c r="E22" s="3" t="inlineStr">
        <is>
          <t xml:space="preserve">SPH0641LU4H-1</t>
        </is>
      </c>
      <c r="F22" s="3" t="inlineStr">
        <is>
          <t xml:space="preserve">LGA 3.5x2.65</t>
        </is>
      </c>
      <c r="G22" s="3" t="inlineStr">
        <is>
          <t xml:space="preserve">Beamforming pair</t>
        </is>
      </c>
      <c r="H22" s="5" t="n">
        <v>1</v>
      </c>
      <c r="I22" s="4" t="n">
        <v>1.6</v>
      </c>
      <c r="J22" s="4">
        <f>H22*I22</f>
      </c>
      <c r="K22" s="3" t="inlineStr">
        <is>
          <t xml:space="preserve">Knowles / Avnet</t>
        </is>
      </c>
      <c r="L22" s="5" t="n">
        <v>10</v>
      </c>
      <c r="M22" s="6" t="inlineStr">
        <is>
          <t xml:space="preserve">T1</t>
        </is>
      </c>
      <c r="N22" s="11" t="inlineStr">
        <is>
          <t xml:space="preserve">Low</t>
        </is>
      </c>
    </row>
    <row r="23">
      <c r="A23" s="5" t="n">
        <v>17</v>
      </c>
      <c r="B23" s="3" t="inlineStr">
        <is>
          <t xml:space="preserve">5. Audio</t>
        </is>
      </c>
      <c r="C23" s="3" t="inlineStr">
        <is>
          <t xml:space="preserve">Bone-conduction transducer</t>
        </is>
      </c>
      <c r="D23" s="3" t="inlineStr">
        <is>
          <t xml:space="preserve">Sanwa</t>
        </is>
      </c>
      <c r="E23" s="3" t="inlineStr">
        <is>
          <t xml:space="preserve">BCT-2818</t>
        </is>
      </c>
      <c r="F23" s="3" t="inlineStr">
        <is>
          <t xml:space="preserve">18x10x2.8mm</t>
        </is>
      </c>
      <c r="G23" s="3" t="inlineStr">
        <is>
          <t xml:space="preserve">1.5W, 200~7kHz, IPX7-friendly</t>
        </is>
      </c>
      <c r="H23" s="5" t="n">
        <v>1</v>
      </c>
      <c r="I23" s="4" t="n">
        <v>1.8</v>
      </c>
      <c r="J23" s="4">
        <f>H23*I23</f>
      </c>
      <c r="K23" s="3" t="inlineStr">
        <is>
          <t xml:space="preserve">Sanwa direct</t>
        </is>
      </c>
      <c r="L23" s="5" t="n">
        <v>10</v>
      </c>
      <c r="M23" s="7" t="inlineStr">
        <is>
          <t xml:space="preserve">T2</t>
        </is>
      </c>
      <c r="N23" s="10" t="inlineStr">
        <is>
          <t xml:space="preserve">Med</t>
        </is>
      </c>
    </row>
    <row r="24">
      <c r="A24" s="5" t="n">
        <v>18</v>
      </c>
      <c r="B24" s="3" t="inlineStr">
        <is>
          <t xml:space="preserve">5. Audio</t>
        </is>
      </c>
      <c r="C24" s="3" t="inlineStr">
        <is>
          <t xml:space="preserve">Audio amp for BCT</t>
        </is>
      </c>
      <c r="D24" s="3" t="inlineStr">
        <is>
          <t xml:space="preserve">Maxim</t>
        </is>
      </c>
      <c r="E24" s="3" t="inlineStr">
        <is>
          <t xml:space="preserve">MAX98357AETE+</t>
        </is>
      </c>
      <c r="F24" s="3" t="inlineStr">
        <is>
          <t xml:space="preserve">TQFN-16</t>
        </is>
      </c>
      <c r="G24" s="3" t="inlineStr">
        <is>
          <t xml:space="preserve">Class-D 3.2W, I2S in</t>
        </is>
      </c>
      <c r="H24" s="5" t="n">
        <v>1</v>
      </c>
      <c r="I24" s="4" t="n">
        <v>0.55</v>
      </c>
      <c r="J24" s="4">
        <f>H24*I24</f>
      </c>
      <c r="K24" s="3" t="inlineStr">
        <is>
          <t xml:space="preserve">Mouser</t>
        </is>
      </c>
      <c r="L24" s="5" t="n">
        <v>6</v>
      </c>
      <c r="M24" s="7" t="inlineStr">
        <is>
          <t xml:space="preserve">T2</t>
        </is>
      </c>
      <c r="N24" s="11" t="inlineStr">
        <is>
          <t xml:space="preserve">Low</t>
        </is>
      </c>
    </row>
    <row r="25">
      <c r="A25" s="5" t="n">
        <v>19</v>
      </c>
      <c r="B25" s="3" t="inlineStr">
        <is>
          <t xml:space="preserve">5. Audio</t>
        </is>
      </c>
      <c r="C25" s="3" t="inlineStr">
        <is>
          <t xml:space="preserve">Mic acoustic mesh (waterproof)</t>
        </is>
      </c>
      <c r="D25" s="3" t="inlineStr">
        <is>
          <t xml:space="preserve">Gore</t>
        </is>
      </c>
      <c r="E25" s="3" t="inlineStr">
        <is>
          <t xml:space="preserve">PMF200373</t>
        </is>
      </c>
      <c r="F25" s="3" t="inlineStr">
        <is>
          <t xml:space="preserve">3.0mm dia</t>
        </is>
      </c>
      <c r="G25" s="3" t="inlineStr">
        <is>
          <t xml:space="preserve">Acoustic vent IP67, 0.05dB insertion</t>
        </is>
      </c>
      <c r="H25" s="5" t="n">
        <v>2</v>
      </c>
      <c r="I25" s="4" t="n">
        <v>0.45</v>
      </c>
      <c r="J25" s="4">
        <f>H25*I25</f>
      </c>
      <c r="K25" s="3" t="inlineStr">
        <is>
          <t xml:space="preserve">Gore direct</t>
        </is>
      </c>
      <c r="L25" s="5" t="n">
        <v>8</v>
      </c>
      <c r="M25" s="7" t="inlineStr">
        <is>
          <t xml:space="preserve">T2</t>
        </is>
      </c>
      <c r="N25" s="10" t="inlineStr">
        <is>
          <t xml:space="preserve">Med</t>
        </is>
      </c>
    </row>
    <row r="26">
      <c r="A26" s="12" t="inlineStr">
        <is>
          <t xml:space="preserve">6. Sensors</t>
        </is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>
      <c r="A27" s="5" t="n">
        <v>20</v>
      </c>
      <c r="B27" s="3" t="inlineStr">
        <is>
          <t xml:space="preserve">6. Sensors</t>
        </is>
      </c>
      <c r="C27" s="3" t="inlineStr">
        <is>
          <t xml:space="preserve">6-axis IMU</t>
        </is>
      </c>
      <c r="D27" s="3" t="inlineStr">
        <is>
          <t xml:space="preserve">Bosch</t>
        </is>
      </c>
      <c r="E27" s="3" t="inlineStr">
        <is>
          <t xml:space="preserve">BMI270</t>
        </is>
      </c>
      <c r="F27" s="3" t="inlineStr">
        <is>
          <t xml:space="preserve">LGA-14 2.5x3</t>
        </is>
      </c>
      <c r="G27" s="3" t="inlineStr">
        <is>
          <t xml:space="preserve">Accel+Gyro, &lt; 4uA low-power, double-tap</t>
        </is>
      </c>
      <c r="H27" s="5" t="n">
        <v>1</v>
      </c>
      <c r="I27" s="4" t="n">
        <v>1.1</v>
      </c>
      <c r="J27" s="4">
        <f>H27*I27</f>
      </c>
      <c r="K27" s="3" t="inlineStr">
        <is>
          <t xml:space="preserve">Bosch / Mouser</t>
        </is>
      </c>
      <c r="L27" s="5" t="n">
        <v>8</v>
      </c>
      <c r="M27" s="6" t="inlineStr">
        <is>
          <t xml:space="preserve">T1</t>
        </is>
      </c>
      <c r="N27" s="11" t="inlineStr">
        <is>
          <t xml:space="preserve">Low</t>
        </is>
      </c>
    </row>
    <row r="28">
      <c r="A28" s="5" t="n">
        <v>21</v>
      </c>
      <c r="B28" s="3" t="inlineStr">
        <is>
          <t xml:space="preserve">6. Sensors</t>
        </is>
      </c>
      <c r="C28" s="3" t="inlineStr">
        <is>
          <t xml:space="preserve">Ambient Light Sensor</t>
        </is>
      </c>
      <c r="D28" s="3" t="inlineStr">
        <is>
          <t xml:space="preserve">Vishay</t>
        </is>
      </c>
      <c r="E28" s="3" t="inlineStr">
        <is>
          <t xml:space="preserve">VEML7700-TT</t>
        </is>
      </c>
      <c r="F28" s="3" t="inlineStr">
        <is>
          <t xml:space="preserve">OPLGA 6.8x2.35</t>
        </is>
      </c>
      <c r="G28" s="3" t="inlineStr">
        <is>
          <t xml:space="preserve">I2C, lux range 0-120k</t>
        </is>
      </c>
      <c r="H28" s="5" t="n">
        <v>1</v>
      </c>
      <c r="I28" s="4" t="n">
        <v>0.55</v>
      </c>
      <c r="J28" s="4">
        <f>H28*I28</f>
      </c>
      <c r="K28" s="3" t="inlineStr">
        <is>
          <t xml:space="preserve">Vishay / Digikey</t>
        </is>
      </c>
      <c r="L28" s="5" t="n">
        <v>6</v>
      </c>
      <c r="M28" s="7" t="inlineStr">
        <is>
          <t xml:space="preserve">T2</t>
        </is>
      </c>
      <c r="N28" s="11" t="inlineStr">
        <is>
          <t xml:space="preserve">Low</t>
        </is>
      </c>
    </row>
    <row r="29">
      <c r="A29" s="5" t="n">
        <v>22</v>
      </c>
      <c r="B29" s="3" t="inlineStr">
        <is>
          <t xml:space="preserve">6. Sensors</t>
        </is>
      </c>
      <c r="C29" s="3" t="inlineStr">
        <is>
          <t xml:space="preserve">ToF / proximity</t>
        </is>
      </c>
      <c r="D29" s="3" t="inlineStr">
        <is>
          <t xml:space="preserve">STMicro</t>
        </is>
      </c>
      <c r="E29" s="3" t="inlineStr">
        <is>
          <t xml:space="preserve">VL53L1X</t>
        </is>
      </c>
      <c r="F29" s="3" t="inlineStr">
        <is>
          <t xml:space="preserve">OLGA-12 4.9x2.5</t>
        </is>
      </c>
      <c r="G29" s="3" t="inlineStr">
        <is>
          <t xml:space="preserve">Up to 4m, 50Hz, occlusion detect</t>
        </is>
      </c>
      <c r="H29" s="5" t="n">
        <v>1</v>
      </c>
      <c r="I29" s="4" t="n">
        <v>1.4</v>
      </c>
      <c r="J29" s="4">
        <f>H29*I29</f>
      </c>
      <c r="K29" s="3" t="inlineStr">
        <is>
          <t xml:space="preserve">ST / Arrow</t>
        </is>
      </c>
      <c r="L29" s="5" t="n">
        <v>8</v>
      </c>
      <c r="M29" s="7" t="inlineStr">
        <is>
          <t xml:space="preserve">T2</t>
        </is>
      </c>
      <c r="N29" s="11" t="inlineStr">
        <is>
          <t xml:space="preserve">Low</t>
        </is>
      </c>
    </row>
    <row r="30">
      <c r="A30" s="5" t="n">
        <v>23</v>
      </c>
      <c r="B30" s="3" t="inlineStr">
        <is>
          <t xml:space="preserve">6. Sensors</t>
        </is>
      </c>
      <c r="C30" s="3" t="inlineStr">
        <is>
          <t xml:space="preserve">Hall switch (mag accessory ID)</t>
        </is>
      </c>
      <c r="D30" s="3" t="inlineStr">
        <is>
          <t xml:space="preserve">TI</t>
        </is>
      </c>
      <c r="E30" s="3" t="inlineStr">
        <is>
          <t xml:space="preserve">DRV5032FBDBZR</t>
        </is>
      </c>
      <c r="F30" s="3" t="inlineStr">
        <is>
          <t xml:space="preserve">SOT-23-3</t>
        </is>
      </c>
      <c r="G30" s="3" t="inlineStr">
        <is>
          <t xml:space="preserve">Omnipolar, 1.3uA avg</t>
        </is>
      </c>
      <c r="H30" s="5" t="n">
        <v>1</v>
      </c>
      <c r="I30" s="4" t="n">
        <v>0.18</v>
      </c>
      <c r="J30" s="4">
        <f>H30*I30</f>
      </c>
      <c r="K30" s="3" t="inlineStr">
        <is>
          <t xml:space="preserve">TI / Mouser</t>
        </is>
      </c>
      <c r="L30" s="5" t="n">
        <v>6</v>
      </c>
      <c r="M30" s="7" t="inlineStr">
        <is>
          <t xml:space="preserve">T2</t>
        </is>
      </c>
      <c r="N30" s="11" t="inlineStr">
        <is>
          <t xml:space="preserve">Low</t>
        </is>
      </c>
    </row>
    <row r="31">
      <c r="A31" s="5" t="n">
        <v>24</v>
      </c>
      <c r="B31" s="3" t="inlineStr">
        <is>
          <t xml:space="preserve">6. Sensors</t>
        </is>
      </c>
      <c r="C31" s="3" t="inlineStr">
        <is>
          <t xml:space="preserve">Capacitive touch slider IC</t>
        </is>
      </c>
      <c r="D31" s="3" t="inlineStr">
        <is>
          <t xml:space="preserve">Microchip</t>
        </is>
      </c>
      <c r="E31" s="3" t="inlineStr">
        <is>
          <t xml:space="preserve">AT42QT1110-AU</t>
        </is>
      </c>
      <c r="F31" s="3" t="inlineStr">
        <is>
          <t xml:space="preserve">TSSOP-20</t>
        </is>
      </c>
      <c r="G31" s="3" t="inlineStr">
        <is>
          <t xml:space="preserve">11-key/slider, &lt; 30uA</t>
        </is>
      </c>
      <c r="H31" s="5" t="n">
        <v>1</v>
      </c>
      <c r="I31" s="4" t="n">
        <v>0.65</v>
      </c>
      <c r="J31" s="4">
        <f>H31*I31</f>
      </c>
      <c r="K31" s="3" t="inlineStr">
        <is>
          <t xml:space="preserve">Microchip / Avnet</t>
        </is>
      </c>
      <c r="L31" s="5" t="n">
        <v>8</v>
      </c>
      <c r="M31" s="7" t="inlineStr">
        <is>
          <t xml:space="preserve">T2</t>
        </is>
      </c>
      <c r="N31" s="11" t="inlineStr">
        <is>
          <t xml:space="preserve">Low</t>
        </is>
      </c>
    </row>
    <row r="32">
      <c r="A32" s="12" t="inlineStr">
        <is>
          <t xml:space="preserve">7. Power</t>
        </is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>
      <c r="A33" s="5" t="n">
        <v>25</v>
      </c>
      <c r="B33" s="3" t="inlineStr">
        <is>
          <t xml:space="preserve">7. Power</t>
        </is>
      </c>
      <c r="C33" s="3" t="inlineStr">
        <is>
          <t xml:space="preserve">PMIC (charger+SIMO+LDO+gauge IF)</t>
        </is>
      </c>
      <c r="D33" s="3" t="inlineStr">
        <is>
          <t xml:space="preserve">Maxim/ADI</t>
        </is>
      </c>
      <c r="E33" s="3" t="inlineStr">
        <is>
          <t xml:space="preserve">MAX77654AEWX+</t>
        </is>
      </c>
      <c r="F33" s="3" t="inlineStr">
        <is>
          <t xml:space="preserve">WLP-30 2.7x3</t>
        </is>
      </c>
      <c r="G33" s="3" t="inlineStr">
        <is>
          <t xml:space="preserve">1x SIMO, 3x LDO, 500mA charger, &lt; 3uA Iq</t>
        </is>
      </c>
      <c r="H33" s="5" t="n">
        <v>1</v>
      </c>
      <c r="I33" s="4" t="n">
        <v>1.85</v>
      </c>
      <c r="J33" s="4">
        <f>H33*I33</f>
      </c>
      <c r="K33" s="3" t="inlineStr">
        <is>
          <t xml:space="preserve">Maxim / WPI</t>
        </is>
      </c>
      <c r="L33" s="5" t="n">
        <v>12</v>
      </c>
      <c r="M33" s="6" t="inlineStr">
        <is>
          <t xml:space="preserve">T1</t>
        </is>
      </c>
      <c r="N33" s="10" t="inlineStr">
        <is>
          <t xml:space="preserve">Med</t>
        </is>
      </c>
    </row>
    <row r="34">
      <c r="A34" s="5" t="n">
        <v>26</v>
      </c>
      <c r="B34" s="3" t="inlineStr">
        <is>
          <t xml:space="preserve">7. Power</t>
        </is>
      </c>
      <c r="C34" s="3" t="inlineStr">
        <is>
          <t xml:space="preserve">Fuel gauge</t>
        </is>
      </c>
      <c r="D34" s="3" t="inlineStr">
        <is>
          <t xml:space="preserve">Maxim/ADI</t>
        </is>
      </c>
      <c r="E34" s="3" t="inlineStr">
        <is>
          <t xml:space="preserve">MAX17048G+T10</t>
        </is>
      </c>
      <c r="F34" s="3" t="inlineStr">
        <is>
          <t xml:space="preserve">TDFN-8</t>
        </is>
      </c>
      <c r="G34" s="3" t="inlineStr">
        <is>
          <t xml:space="preserve">ModelGauge m5, +/-2% SOC</t>
        </is>
      </c>
      <c r="H34" s="5" t="n">
        <v>1</v>
      </c>
      <c r="I34" s="4" t="n">
        <v>1.2</v>
      </c>
      <c r="J34" s="4">
        <f>H34*I34</f>
      </c>
      <c r="K34" s="3" t="inlineStr">
        <is>
          <t xml:space="preserve">Maxim / Mouser</t>
        </is>
      </c>
      <c r="L34" s="5" t="n">
        <v>10</v>
      </c>
      <c r="M34" s="7" t="inlineStr">
        <is>
          <t xml:space="preserve">T2</t>
        </is>
      </c>
      <c r="N34" s="11" t="inlineStr">
        <is>
          <t xml:space="preserve">Low</t>
        </is>
      </c>
    </row>
    <row r="35">
      <c r="A35" s="5" t="n">
        <v>27</v>
      </c>
      <c r="B35" s="3" t="inlineStr">
        <is>
          <t xml:space="preserve">7. Power</t>
        </is>
      </c>
      <c r="C35" s="3" t="inlineStr">
        <is>
          <t xml:space="preserve">Li-Po battery 3.7V 350mAh</t>
        </is>
      </c>
      <c r="D35" s="3" t="inlineStr">
        <is>
          <t xml:space="preserve">ATL / EVE</t>
        </is>
      </c>
      <c r="E35" s="3" t="inlineStr">
        <is>
          <t xml:space="preserve">ATL-353038-350</t>
        </is>
      </c>
      <c r="F35" s="3" t="inlineStr">
        <is>
          <t xml:space="preserve">30x22x3.8mm pouch</t>
        </is>
      </c>
      <c r="G35" s="3" t="inlineStr">
        <is>
          <t xml:space="preserve">JEITA, NTC, PCM, UN38.3</t>
        </is>
      </c>
      <c r="H35" s="5" t="n">
        <v>1</v>
      </c>
      <c r="I35" s="4" t="n">
        <v>2.4</v>
      </c>
      <c r="J35" s="4">
        <f>H35*I35</f>
      </c>
      <c r="K35" s="3" t="inlineStr">
        <is>
          <t xml:space="preserve">ATL Tier-1</t>
        </is>
      </c>
      <c r="L35" s="5" t="n">
        <v>10</v>
      </c>
      <c r="M35" s="6" t="inlineStr">
        <is>
          <t xml:space="preserve">T1</t>
        </is>
      </c>
      <c r="N35" s="9" t="inlineStr">
        <is>
          <t xml:space="preserve">High</t>
        </is>
      </c>
    </row>
    <row r="36">
      <c r="A36" s="5" t="n">
        <v>28</v>
      </c>
      <c r="B36" s="3" t="inlineStr">
        <is>
          <t xml:space="preserve">7. Power</t>
        </is>
      </c>
      <c r="C36" s="3" t="inlineStr">
        <is>
          <t xml:space="preserve">Battery NTC (10k B3380)</t>
        </is>
      </c>
      <c r="D36" s="3" t="inlineStr">
        <is>
          <t xml:space="preserve">Murata</t>
        </is>
      </c>
      <c r="E36" s="3" t="inlineStr">
        <is>
          <t xml:space="preserve">NCP15XH103J03RC</t>
        </is>
      </c>
      <c r="F36" s="3" t="inlineStr">
        <is>
          <t xml:space="preserve">0402</t>
        </is>
      </c>
      <c r="G36" s="3" t="inlineStr">
        <is>
          <t xml:space="preserve">Internal to battery pack (incl above)</t>
        </is>
      </c>
      <c r="H36" s="5" t="n">
        <v>0</v>
      </c>
      <c r="I36" s="4" t="n">
        <v>0.0</v>
      </c>
      <c r="J36" s="4">
        <f>H36*I36</f>
      </c>
      <c r="K36" s="3" t="inlineStr">
        <is>
          <t xml:space="preserve">(in pack)</t>
        </is>
      </c>
      <c r="L36" s="5" t="n">
        <v>0</v>
      </c>
      <c r="M36" s="8" t="inlineStr">
        <is>
          <t xml:space="preserve">T3</t>
        </is>
      </c>
      <c r="N36" s="11" t="inlineStr">
        <is>
          <t xml:space="preserve">Low</t>
        </is>
      </c>
    </row>
    <row r="37">
      <c r="A37" s="5" t="n">
        <v>29</v>
      </c>
      <c r="B37" s="3" t="inlineStr">
        <is>
          <t xml:space="preserve">7. Power</t>
        </is>
      </c>
      <c r="C37" s="3" t="inlineStr">
        <is>
          <t xml:space="preserve">TVS / OVP for VBUS</t>
        </is>
      </c>
      <c r="D37" s="3" t="inlineStr">
        <is>
          <t xml:space="preserve">Nexperia</t>
        </is>
      </c>
      <c r="E37" s="3" t="inlineStr">
        <is>
          <t xml:space="preserve">PESD5V0X1BT</t>
        </is>
      </c>
      <c r="F37" s="3" t="inlineStr">
        <is>
          <t xml:space="preserve">SOD-523</t>
        </is>
      </c>
      <c r="G37" s="3" t="inlineStr">
        <is>
          <t xml:space="preserve">5V working, 6.5V clamp</t>
        </is>
      </c>
      <c r="H37" s="5" t="n">
        <v>2</v>
      </c>
      <c r="I37" s="4" t="n">
        <v>0.06</v>
      </c>
      <c r="J37" s="4">
        <f>H37*I37</f>
      </c>
      <c r="K37" s="3" t="inlineStr">
        <is>
          <t xml:space="preserve">Nexperia / LCSC</t>
        </is>
      </c>
      <c r="L37" s="5" t="n">
        <v>4</v>
      </c>
      <c r="M37" s="8" t="inlineStr">
        <is>
          <t xml:space="preserve">T3</t>
        </is>
      </c>
      <c r="N37" s="11" t="inlineStr">
        <is>
          <t xml:space="preserve">Low</t>
        </is>
      </c>
    </row>
    <row r="38">
      <c r="A38" s="5" t="n">
        <v>30</v>
      </c>
      <c r="B38" s="3" t="inlineStr">
        <is>
          <t xml:space="preserve">7. Power</t>
        </is>
      </c>
      <c r="C38" s="3" t="inlineStr">
        <is>
          <t xml:space="preserve">Boost for BCT/LED rail</t>
        </is>
      </c>
      <c r="D38" s="3" t="inlineStr">
        <is>
          <t xml:space="preserve">TI</t>
        </is>
      </c>
      <c r="E38" s="3" t="inlineStr">
        <is>
          <t xml:space="preserve">TPS61291DRVR</t>
        </is>
      </c>
      <c r="F38" s="3" t="inlineStr">
        <is>
          <t xml:space="preserve">WSON-6</t>
        </is>
      </c>
      <c r="G38" s="3" t="inlineStr">
        <is>
          <t xml:space="preserve">3.3-5V boost, 1.2uA Iq</t>
        </is>
      </c>
      <c r="H38" s="5" t="n">
        <v>1</v>
      </c>
      <c r="I38" s="4" t="n">
        <v>0.55</v>
      </c>
      <c r="J38" s="4">
        <f>H38*I38</f>
      </c>
      <c r="K38" s="3" t="inlineStr">
        <is>
          <t xml:space="preserve">TI / Mouser</t>
        </is>
      </c>
      <c r="L38" s="5" t="n">
        <v>8</v>
      </c>
      <c r="M38" s="7" t="inlineStr">
        <is>
          <t xml:space="preserve">T2</t>
        </is>
      </c>
      <c r="N38" s="11" t="inlineStr">
        <is>
          <t xml:space="preserve">Low</t>
        </is>
      </c>
    </row>
    <row r="39">
      <c r="A39" s="12" t="inlineStr">
        <is>
          <t xml:space="preserve">8. IO</t>
        </is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>
      <c r="A40" s="5" t="n">
        <v>31</v>
      </c>
      <c r="B40" s="3" t="inlineStr">
        <is>
          <t xml:space="preserve">8. IO</t>
        </is>
      </c>
      <c r="C40" s="3" t="inlineStr">
        <is>
          <t xml:space="preserve">Pogo Pin connector (6-pin)</t>
        </is>
      </c>
      <c r="D40" s="3" t="inlineStr">
        <is>
          <t xml:space="preserve">Mill-Max</t>
        </is>
      </c>
      <c r="E40" s="3" t="inlineStr">
        <is>
          <t xml:space="preserve">0850-0-15-20-82-14-11-0</t>
        </is>
      </c>
      <c r="F40" s="3" t="inlineStr">
        <is>
          <t xml:space="preserve">6P 2.5mm pitch</t>
        </is>
      </c>
      <c r="G40" s="3" t="inlineStr">
        <is>
          <t xml:space="preserve">Au plated, 10k cycles</t>
        </is>
      </c>
      <c r="H40" s="5" t="n">
        <v>1</v>
      </c>
      <c r="I40" s="4" t="n">
        <v>2.4</v>
      </c>
      <c r="J40" s="4">
        <f>H40*I40</f>
      </c>
      <c r="K40" s="3" t="inlineStr">
        <is>
          <t xml:space="preserve">Mill-Max / Digikey</t>
        </is>
      </c>
      <c r="L40" s="5" t="n">
        <v>14</v>
      </c>
      <c r="M40" s="6" t="inlineStr">
        <is>
          <t xml:space="preserve">T1</t>
        </is>
      </c>
      <c r="N40" s="10" t="inlineStr">
        <is>
          <t xml:space="preserve">Med</t>
        </is>
      </c>
    </row>
    <row r="41">
      <c r="A41" s="5" t="n">
        <v>32</v>
      </c>
      <c r="B41" s="3" t="inlineStr">
        <is>
          <t xml:space="preserve">8. IO</t>
        </is>
      </c>
      <c r="C41" s="3" t="inlineStr">
        <is>
          <t xml:space="preserve">Pogo Pin alt (cost-down)</t>
        </is>
      </c>
      <c r="D41" s="3" t="inlineStr">
        <is>
          <t xml:space="preserve">Xinyi (信音)</t>
        </is>
      </c>
      <c r="E41" s="3" t="inlineStr">
        <is>
          <t xml:space="preserve">XY-PG-6P-Au076</t>
        </is>
      </c>
      <c r="F41" s="3" t="inlineStr">
        <is>
          <t xml:space="preserve">6P 2.5mm pitch</t>
        </is>
      </c>
      <c r="G41" s="3" t="inlineStr">
        <is>
          <t xml:space="preserve">Au 0.76um, qual'd 10k cycles</t>
        </is>
      </c>
      <c r="H41" s="5" t="n">
        <v>0</v>
      </c>
      <c r="I41" s="4" t="n">
        <v>1.2</v>
      </c>
      <c r="J41" s="4">
        <f>H41*I41</f>
      </c>
      <c r="K41" s="3" t="inlineStr">
        <is>
          <t xml:space="preserve">Xinyi direct</t>
        </is>
      </c>
      <c r="L41" s="5" t="n">
        <v>10</v>
      </c>
      <c r="M41" s="7" t="inlineStr">
        <is>
          <t xml:space="preserve">T2</t>
        </is>
      </c>
      <c r="N41" s="10" t="inlineStr">
        <is>
          <t xml:space="preserve">Med</t>
        </is>
      </c>
    </row>
    <row r="42">
      <c r="A42" s="5" t="n">
        <v>33</v>
      </c>
      <c r="B42" s="3" t="inlineStr">
        <is>
          <t xml:space="preserve">8. IO</t>
        </is>
      </c>
      <c r="C42" s="3" t="inlineStr">
        <is>
          <t xml:space="preserve">Accessory auth IC (1-Wire)</t>
        </is>
      </c>
      <c r="D42" s="3" t="inlineStr">
        <is>
          <t xml:space="preserve">Maxim/ADI</t>
        </is>
      </c>
      <c r="E42" s="3" t="inlineStr">
        <is>
          <t xml:space="preserve">DS28E15P+T</t>
        </is>
      </c>
      <c r="F42" s="3" t="inlineStr">
        <is>
          <t xml:space="preserve">TSOC-6</t>
        </is>
      </c>
      <c r="G42" s="3" t="inlineStr">
        <is>
          <t xml:space="preserve">SHA-256 auth, anti-clone accessory</t>
        </is>
      </c>
      <c r="H42" s="5" t="n">
        <v>1</v>
      </c>
      <c r="I42" s="4" t="n">
        <v>0.85</v>
      </c>
      <c r="J42" s="4">
        <f>H42*I42</f>
      </c>
      <c r="K42" s="3" t="inlineStr">
        <is>
          <t xml:space="preserve">Maxim / Mouser</t>
        </is>
      </c>
      <c r="L42" s="5" t="n">
        <v>10</v>
      </c>
      <c r="M42" s="7" t="inlineStr">
        <is>
          <t xml:space="preserve">T2</t>
        </is>
      </c>
      <c r="N42" s="10" t="inlineStr">
        <is>
          <t xml:space="preserve">Med</t>
        </is>
      </c>
    </row>
    <row r="43">
      <c r="A43" s="5" t="n">
        <v>34</v>
      </c>
      <c r="B43" s="3" t="inlineStr">
        <is>
          <t xml:space="preserve">8. IO</t>
        </is>
      </c>
      <c r="C43" s="3" t="inlineStr">
        <is>
          <t xml:space="preserve">Tact switch (shutter)</t>
        </is>
      </c>
      <c r="D43" s="3" t="inlineStr">
        <is>
          <t xml:space="preserve">C&amp;K</t>
        </is>
      </c>
      <c r="E43" s="3" t="inlineStr">
        <is>
          <t xml:space="preserve">PTS526SMG15SMTR2LFS</t>
        </is>
      </c>
      <c r="F43" s="3" t="inlineStr">
        <is>
          <t xml:space="preserve">SMT 5x5</t>
        </is>
      </c>
      <c r="G43" s="3" t="inlineStr">
        <is>
          <t xml:space="preserve">IP67 rated, 200gf, 500k cycles</t>
        </is>
      </c>
      <c r="H43" s="5" t="n">
        <v>1</v>
      </c>
      <c r="I43" s="4" t="n">
        <v>0.32</v>
      </c>
      <c r="J43" s="4">
        <f>H43*I43</f>
      </c>
      <c r="K43" s="3" t="inlineStr">
        <is>
          <t xml:space="preserve">C&amp;K / Digikey</t>
        </is>
      </c>
      <c r="L43" s="5" t="n">
        <v>6</v>
      </c>
      <c r="M43" s="7" t="inlineStr">
        <is>
          <t xml:space="preserve">T2</t>
        </is>
      </c>
      <c r="N43" s="11" t="inlineStr">
        <is>
          <t xml:space="preserve">Low</t>
        </is>
      </c>
    </row>
    <row r="44">
      <c r="A44" s="5" t="n">
        <v>35</v>
      </c>
      <c r="B44" s="3" t="inlineStr">
        <is>
          <t xml:space="preserve">8. IO</t>
        </is>
      </c>
      <c r="C44" s="3" t="inlineStr">
        <is>
          <t xml:space="preserve">Status LED (RGB)</t>
        </is>
      </c>
      <c r="D44" s="3" t="inlineStr">
        <is>
          <t xml:space="preserve">Everlight</t>
        </is>
      </c>
      <c r="E44" s="3" t="inlineStr">
        <is>
          <t xml:space="preserve">19-217/RSGHBHC-A01</t>
        </is>
      </c>
      <c r="F44" s="3" t="inlineStr">
        <is>
          <t xml:space="preserve">PLCC-4 0606</t>
        </is>
      </c>
      <c r="G44" s="3" t="inlineStr">
        <is>
          <t xml:space="preserve">Common-anode RGB, dome lens</t>
        </is>
      </c>
      <c r="H44" s="5" t="n">
        <v>1</v>
      </c>
      <c r="I44" s="4" t="n">
        <v>0.12</v>
      </c>
      <c r="J44" s="4">
        <f>H44*I44</f>
      </c>
      <c r="K44" s="3" t="inlineStr">
        <is>
          <t xml:space="preserve">Everlight</t>
        </is>
      </c>
      <c r="L44" s="5" t="n">
        <v>6</v>
      </c>
      <c r="M44" s="8" t="inlineStr">
        <is>
          <t xml:space="preserve">T3</t>
        </is>
      </c>
      <c r="N44" s="11" t="inlineStr">
        <is>
          <t xml:space="preserve">Low</t>
        </is>
      </c>
    </row>
    <row r="45">
      <c r="A45" s="5" t="n">
        <v>36</v>
      </c>
      <c r="B45" s="3" t="inlineStr">
        <is>
          <t xml:space="preserve">8. IO</t>
        </is>
      </c>
      <c r="C45" s="3" t="inlineStr">
        <is>
          <t xml:space="preserve">Magnet (N52 disc)</t>
        </is>
      </c>
      <c r="D45" s="3" t="inlineStr">
        <is>
          <t xml:space="preserve">Generic NdFeB</t>
        </is>
      </c>
      <c r="E45" s="3" t="inlineStr">
        <is>
          <t xml:space="preserve">N52-D6x1.5</t>
        </is>
      </c>
      <c r="F45" s="3" t="inlineStr">
        <is>
          <t xml:space="preserve">D6x1.5 mm</t>
        </is>
      </c>
      <c r="G45" s="3" t="inlineStr">
        <is>
          <t xml:space="preserve">Nickel-plated, axially magnetized x2</t>
        </is>
      </c>
      <c r="H45" s="5" t="n">
        <v>2</v>
      </c>
      <c r="I45" s="4" t="n">
        <v>0.18</v>
      </c>
      <c r="J45" s="4">
        <f>H45*I45</f>
      </c>
      <c r="K45" s="3" t="inlineStr">
        <is>
          <t xml:space="preserve">Ningbo Jingci</t>
        </is>
      </c>
      <c r="L45" s="5" t="n">
        <v>6</v>
      </c>
      <c r="M45" s="8" t="inlineStr">
        <is>
          <t xml:space="preserve">T3</t>
        </is>
      </c>
      <c r="N45" s="11" t="inlineStr">
        <is>
          <t xml:space="preserve">Low</t>
        </is>
      </c>
    </row>
    <row r="46">
      <c r="A46" s="12" t="inlineStr">
        <is>
          <t xml:space="preserve">9. RF</t>
        </is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>
      <c r="A47" s="5" t="n">
        <v>37</v>
      </c>
      <c r="B47" s="3" t="inlineStr">
        <is>
          <t xml:space="preserve">9. RF</t>
        </is>
      </c>
      <c r="C47" s="3" t="inlineStr">
        <is>
          <t xml:space="preserve">Wi-Fi/BLE chip antenna</t>
        </is>
      </c>
      <c r="D47" s="3" t="inlineStr">
        <is>
          <t xml:space="preserve">Yageo</t>
        </is>
      </c>
      <c r="E47" s="3" t="inlineStr">
        <is>
          <t xml:space="preserve">ANT-W63WS5-T</t>
        </is>
      </c>
      <c r="F47" s="3" t="inlineStr">
        <is>
          <t xml:space="preserve">0603 chip</t>
        </is>
      </c>
      <c r="G47" s="3" t="inlineStr">
        <is>
          <t xml:space="preserve">2.4/5GHz dual-band, 50ohm</t>
        </is>
      </c>
      <c r="H47" s="5" t="n">
        <v>1</v>
      </c>
      <c r="I47" s="4" t="n">
        <v>0.35</v>
      </c>
      <c r="J47" s="4">
        <f>H47*I47</f>
      </c>
      <c r="K47" s="3" t="inlineStr">
        <is>
          <t xml:space="preserve">Yageo / LCSC</t>
        </is>
      </c>
      <c r="L47" s="5" t="n">
        <v>6</v>
      </c>
      <c r="M47" s="7" t="inlineStr">
        <is>
          <t xml:space="preserve">T2</t>
        </is>
      </c>
      <c r="N47" s="10" t="inlineStr">
        <is>
          <t xml:space="preserve">Med</t>
        </is>
      </c>
    </row>
    <row r="48">
      <c r="A48" s="5" t="n">
        <v>38</v>
      </c>
      <c r="B48" s="3" t="inlineStr">
        <is>
          <t xml:space="preserve">9. RF</t>
        </is>
      </c>
      <c r="C48" s="3" t="inlineStr">
        <is>
          <t xml:space="preserve">Pi-match RLC kit</t>
        </is>
      </c>
      <c r="D48" s="3" t="inlineStr">
        <is>
          <t xml:space="preserve">Murata</t>
        </is>
      </c>
      <c r="E48" s="3" t="inlineStr">
        <is>
          <t xml:space="preserve">GRM/LQG combo</t>
        </is>
      </c>
      <c r="F48" s="3" t="inlineStr">
        <is>
          <t xml:space="preserve">0402</t>
        </is>
      </c>
      <c r="G48" s="3" t="inlineStr">
        <is>
          <t xml:space="preserve">0R/0R/NM placeholder, tuned per DVT</t>
        </is>
      </c>
      <c r="H48" s="5" t="n">
        <v>1</v>
      </c>
      <c r="I48" s="4" t="n">
        <v>0.1</v>
      </c>
      <c r="J48" s="4">
        <f>H48*I48</f>
      </c>
      <c r="K48" s="3" t="inlineStr">
        <is>
          <t xml:space="preserve">Murata</t>
        </is>
      </c>
      <c r="L48" s="5" t="n">
        <v>4</v>
      </c>
      <c r="M48" s="8" t="inlineStr">
        <is>
          <t xml:space="preserve">T3</t>
        </is>
      </c>
      <c r="N48" s="11" t="inlineStr">
        <is>
          <t xml:space="preserve">Low</t>
        </is>
      </c>
    </row>
    <row r="49">
      <c r="A49" s="12" t="inlineStr">
        <is>
          <t xml:space="preserve">10. Passives</t>
        </is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>
      <c r="A50" s="5" t="n">
        <v>39</v>
      </c>
      <c r="B50" s="3" t="inlineStr">
        <is>
          <t xml:space="preserve">10. Passives</t>
        </is>
      </c>
      <c r="C50" s="3" t="inlineStr">
        <is>
          <t xml:space="preserve">MLCC bulk pack (0402/0201)</t>
        </is>
      </c>
      <c r="D50" s="3" t="inlineStr">
        <is>
          <t xml:space="preserve">Samsung EM</t>
        </is>
      </c>
      <c r="E50" s="3" t="inlineStr">
        <is>
          <t xml:space="preserve">CL-series</t>
        </is>
      </c>
      <c r="F50" s="3" t="inlineStr">
        <is>
          <t xml:space="preserve">0402/0201</t>
        </is>
      </c>
      <c r="G50" s="3" t="inlineStr">
        <is>
          <t xml:space="preserve">approx 180 caps mixed</t>
        </is>
      </c>
      <c r="H50" s="5" t="n">
        <v>1</v>
      </c>
      <c r="I50" s="4" t="n">
        <v>1.1</v>
      </c>
      <c r="J50" s="4">
        <f>H50*I50</f>
      </c>
      <c r="K50" s="3" t="inlineStr">
        <is>
          <t xml:space="preserve">Samsung EM</t>
        </is>
      </c>
      <c r="L50" s="5" t="n">
        <v>6</v>
      </c>
      <c r="M50" s="7" t="inlineStr">
        <is>
          <t xml:space="preserve">T2</t>
        </is>
      </c>
      <c r="N50" s="11" t="inlineStr">
        <is>
          <t xml:space="preserve">Low</t>
        </is>
      </c>
    </row>
    <row r="51">
      <c r="A51" s="5" t="n">
        <v>40</v>
      </c>
      <c r="B51" s="3" t="inlineStr">
        <is>
          <t xml:space="preserve">10. Passives</t>
        </is>
      </c>
      <c r="C51" s="3" t="inlineStr">
        <is>
          <t xml:space="preserve">Resistors bulk (0402)</t>
        </is>
      </c>
      <c r="D51" s="3" t="inlineStr">
        <is>
          <t xml:space="preserve">Yageo</t>
        </is>
      </c>
      <c r="E51" s="3" t="inlineStr">
        <is>
          <t xml:space="preserve">RC0402-series</t>
        </is>
      </c>
      <c r="F51" s="3" t="inlineStr">
        <is>
          <t xml:space="preserve">0402</t>
        </is>
      </c>
      <c r="G51" s="3" t="inlineStr">
        <is>
          <t xml:space="preserve">approx 120 resistors, 1%</t>
        </is>
      </c>
      <c r="H51" s="5" t="n">
        <v>1</v>
      </c>
      <c r="I51" s="4" t="n">
        <v>0.35</v>
      </c>
      <c r="J51" s="4">
        <f>H51*I51</f>
      </c>
      <c r="K51" s="3" t="inlineStr">
        <is>
          <t xml:space="preserve">Yageo / LCSC</t>
        </is>
      </c>
      <c r="L51" s="5" t="n">
        <v>4</v>
      </c>
      <c r="M51" s="8" t="inlineStr">
        <is>
          <t xml:space="preserve">T3</t>
        </is>
      </c>
      <c r="N51" s="11" t="inlineStr">
        <is>
          <t xml:space="preserve">Low</t>
        </is>
      </c>
    </row>
    <row r="52">
      <c r="A52" s="5" t="n">
        <v>41</v>
      </c>
      <c r="B52" s="3" t="inlineStr">
        <is>
          <t xml:space="preserve">10. Passives</t>
        </is>
      </c>
      <c r="C52" s="3" t="inlineStr">
        <is>
          <t xml:space="preserve">Inductors (DCDC)</t>
        </is>
      </c>
      <c r="D52" s="3" t="inlineStr">
        <is>
          <t xml:space="preserve">Murata</t>
        </is>
      </c>
      <c r="E52" s="3" t="inlineStr">
        <is>
          <t xml:space="preserve">DFE201610E-2R2M</t>
        </is>
      </c>
      <c r="F52" s="3" t="inlineStr">
        <is>
          <t xml:space="preserve">2.0x1.6x1.0</t>
        </is>
      </c>
      <c r="G52" s="3" t="inlineStr">
        <is>
          <t xml:space="preserve">2.2uH, 1.5A, low-DCR</t>
        </is>
      </c>
      <c r="H52" s="5" t="n">
        <v>3</v>
      </c>
      <c r="I52" s="4" t="n">
        <v>0.18</v>
      </c>
      <c r="J52" s="4">
        <f>H52*I52</f>
      </c>
      <c r="K52" s="3" t="inlineStr">
        <is>
          <t xml:space="preserve">Murata</t>
        </is>
      </c>
      <c r="L52" s="5" t="n">
        <v>6</v>
      </c>
      <c r="M52" s="7" t="inlineStr">
        <is>
          <t xml:space="preserve">T2</t>
        </is>
      </c>
      <c r="N52" s="11" t="inlineStr">
        <is>
          <t xml:space="preserve">Low</t>
        </is>
      </c>
    </row>
    <row r="53">
      <c r="A53" s="5" t="n">
        <v>42</v>
      </c>
      <c r="B53" s="3" t="inlineStr">
        <is>
          <t xml:space="preserve">10. Passives</t>
        </is>
      </c>
      <c r="C53" s="3" t="inlineStr">
        <is>
          <t xml:space="preserve">Crystal 24/40 MHz (SoC)</t>
        </is>
      </c>
      <c r="D53" s="3" t="inlineStr">
        <is>
          <t xml:space="preserve">TXC</t>
        </is>
      </c>
      <c r="E53" s="3" t="inlineStr">
        <is>
          <t xml:space="preserve">7M-40.000MEEQ</t>
        </is>
      </c>
      <c r="F53" s="3" t="inlineStr">
        <is>
          <t xml:space="preserve">3.2x2.5</t>
        </is>
      </c>
      <c r="G53" s="3" t="inlineStr">
        <is>
          <t xml:space="preserve">+/-10ppm</t>
        </is>
      </c>
      <c r="H53" s="5" t="n">
        <v>1</v>
      </c>
      <c r="I53" s="4" t="n">
        <v>0.22</v>
      </c>
      <c r="J53" s="4">
        <f>H53*I53</f>
      </c>
      <c r="K53" s="3" t="inlineStr">
        <is>
          <t xml:space="preserve">TXC / Digikey</t>
        </is>
      </c>
      <c r="L53" s="5" t="n">
        <v>6</v>
      </c>
      <c r="M53" s="7" t="inlineStr">
        <is>
          <t xml:space="preserve">T2</t>
        </is>
      </c>
      <c r="N53" s="11" t="inlineStr">
        <is>
          <t xml:space="preserve">Low</t>
        </is>
      </c>
    </row>
    <row r="54">
      <c r="A54" s="5" t="n">
        <v>43</v>
      </c>
      <c r="B54" s="3" t="inlineStr">
        <is>
          <t xml:space="preserve">10. Passives</t>
        </is>
      </c>
      <c r="C54" s="3" t="inlineStr">
        <is>
          <t xml:space="preserve">ESD diode array (USB/Pogo)</t>
        </is>
      </c>
      <c r="D54" s="3" t="inlineStr">
        <is>
          <t xml:space="preserve">ON Semi</t>
        </is>
      </c>
      <c r="E54" s="3" t="inlineStr">
        <is>
          <t xml:space="preserve">ESD7104MUTAG</t>
        </is>
      </c>
      <c r="F54" s="3" t="inlineStr">
        <is>
          <t xml:space="preserve">uDFN-10</t>
        </is>
      </c>
      <c r="G54" s="3" t="inlineStr">
        <is>
          <t xml:space="preserve">4-line 2.5pF, 8kV contact</t>
        </is>
      </c>
      <c r="H54" s="5" t="n">
        <v>1</v>
      </c>
      <c r="I54" s="4" t="n">
        <v>0.22</v>
      </c>
      <c r="J54" s="4">
        <f>H54*I54</f>
      </c>
      <c r="K54" s="3" t="inlineStr">
        <is>
          <t xml:space="preserve">Onsemi / Avnet</t>
        </is>
      </c>
      <c r="L54" s="5" t="n">
        <v>6</v>
      </c>
      <c r="M54" s="8" t="inlineStr">
        <is>
          <t xml:space="preserve">T3</t>
        </is>
      </c>
      <c r="N54" s="11" t="inlineStr">
        <is>
          <t xml:space="preserve">Low</t>
        </is>
      </c>
    </row>
    <row r="55">
      <c r="A55" s="12" t="inlineStr">
        <is>
          <t xml:space="preserve">11. PCB &amp; SMT</t>
        </is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>
      <c r="A56" s="5" t="n">
        <v>44</v>
      </c>
      <c r="B56" s="3" t="inlineStr">
        <is>
          <t xml:space="preserve">11. PCB &amp; SMT</t>
        </is>
      </c>
      <c r="C56" s="3" t="inlineStr">
        <is>
          <t xml:space="preserve">Main PCB (Rigid-Flex 6L HDI)</t>
        </is>
      </c>
      <c r="D56" s="3" t="inlineStr">
        <is>
          <t xml:space="preserve">Compeq / KCE</t>
        </is>
      </c>
      <c r="E56" s="3" t="inlineStr">
        <is>
          <t xml:space="preserve">Custom-6L-HDI-RF</t>
        </is>
      </c>
      <c r="F56" s="3" t="inlineStr">
        <is>
          <t xml:space="preserve">Rigid-Flex</t>
        </is>
      </c>
      <c r="G56" s="3" t="inlineStr">
        <is>
          <t xml:space="preserve">6L, 2-stage HDI, ENIG, 1 flex layer</t>
        </is>
      </c>
      <c r="H56" s="5" t="n">
        <v>1</v>
      </c>
      <c r="I56" s="4" t="n">
        <v>5.2</v>
      </c>
      <c r="J56" s="4">
        <f>H56*I56</f>
      </c>
      <c r="K56" s="3" t="inlineStr">
        <is>
          <t xml:space="preserve">Compeq</t>
        </is>
      </c>
      <c r="L56" s="5" t="n">
        <v>18</v>
      </c>
      <c r="M56" s="6" t="inlineStr">
        <is>
          <t xml:space="preserve">T1</t>
        </is>
      </c>
      <c r="N56" s="9" t="inlineStr">
        <is>
          <t xml:space="preserve">High</t>
        </is>
      </c>
    </row>
    <row r="57">
      <c r="A57" s="5" t="n">
        <v>45</v>
      </c>
      <c r="B57" s="3" t="inlineStr">
        <is>
          <t xml:space="preserve">11. PCB &amp; SMT</t>
        </is>
      </c>
      <c r="C57" s="3" t="inlineStr">
        <is>
          <t xml:space="preserve">SMT assembly + test labor</t>
        </is>
      </c>
      <c r="D57" s="3" t="inlineStr">
        <is>
          <t xml:space="preserve">OEM (TBD)</t>
        </is>
      </c>
      <c r="E57" s="3" t="inlineStr">
        <is>
          <t xml:space="preserve">SMT-Service</t>
        </is>
      </c>
      <c r="F57" s="3" t="inlineStr">
        <is>
          <t xml:space="preserve">Service</t>
        </is>
      </c>
      <c r="G57" s="3" t="inlineStr">
        <is>
          <t xml:space="preserve">0201-capable line, AOI+X-ray</t>
        </is>
      </c>
      <c r="H57" s="5" t="n">
        <v>1</v>
      </c>
      <c r="I57" s="4" t="n">
        <v>3.8</v>
      </c>
      <c r="J57" s="4">
        <f>H57*I57</f>
      </c>
      <c r="K57" s="3" t="inlineStr">
        <is>
          <t xml:space="preserve">OEM (Hongqun / Daiwa)</t>
        </is>
      </c>
      <c r="L57" s="5" t="n">
        <v>0</v>
      </c>
      <c r="M57" s="6" t="inlineStr">
        <is>
          <t xml:space="preserve">T1</t>
        </is>
      </c>
      <c r="N57" s="10" t="inlineStr">
        <is>
          <t xml:space="preserve">Med</t>
        </is>
      </c>
    </row>
    <row r="58">
      <c r="A58" s="5" t="n">
        <v>46</v>
      </c>
      <c r="B58" s="3" t="inlineStr">
        <is>
          <t xml:space="preserve">11. PCB &amp; SMT</t>
        </is>
      </c>
      <c r="C58" s="3" t="inlineStr">
        <is>
          <t xml:space="preserve">EMI shielding can (sensor+SoC)</t>
        </is>
      </c>
      <c r="D58" s="3" t="inlineStr">
        <is>
          <t xml:space="preserve">Laird</t>
        </is>
      </c>
      <c r="E58" s="3" t="inlineStr">
        <is>
          <t xml:space="preserve">Custom-shield-2pc</t>
        </is>
      </c>
      <c r="F58" s="3" t="inlineStr">
        <is>
          <t xml:space="preserve">Stamped + frame</t>
        </is>
      </c>
      <c r="G58" s="3" t="inlineStr">
        <is>
          <t xml:space="preserve">0.2mm tin-plated, 2-piece</t>
        </is>
      </c>
      <c r="H58" s="5" t="n">
        <v>1</v>
      </c>
      <c r="I58" s="4" t="n">
        <v>0.35</v>
      </c>
      <c r="J58" s="4">
        <f>H58*I58</f>
      </c>
      <c r="K58" s="3" t="inlineStr">
        <is>
          <t xml:space="preserve">Laird / local</t>
        </is>
      </c>
      <c r="L58" s="5" t="n">
        <v>8</v>
      </c>
      <c r="M58" s="7" t="inlineStr">
        <is>
          <t xml:space="preserve">T2</t>
        </is>
      </c>
      <c r="N58" s="10" t="inlineStr">
        <is>
          <t xml:space="preserve">Med</t>
        </is>
      </c>
    </row>
    <row r="59">
      <c r="A59" s="12" t="inlineStr">
        <is>
          <t xml:space="preserve">12. Mech</t>
        </is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>
      <c r="A60" s="5" t="n">
        <v>47</v>
      </c>
      <c r="B60" s="3" t="inlineStr">
        <is>
          <t xml:space="preserve">12. Mech</t>
        </is>
      </c>
      <c r="C60" s="3" t="inlineStr">
        <is>
          <t xml:space="preserve">Front housing PC+ABS</t>
        </is>
      </c>
      <c r="D60" s="3" t="inlineStr">
        <is>
          <t xml:space="preserve">TBD molder</t>
        </is>
      </c>
      <c r="E60" s="3" t="inlineStr">
        <is>
          <t xml:space="preserve">FH-001-PCABS</t>
        </is>
      </c>
      <c r="F60" s="3" t="inlineStr">
        <is>
          <t xml:space="preserve">Custom</t>
        </is>
      </c>
      <c r="G60" s="3" t="inlineStr">
        <is>
          <t xml:space="preserve">Bayer T65, ETA-1 wear</t>
        </is>
      </c>
      <c r="H60" s="5" t="n">
        <v>1</v>
      </c>
      <c r="I60" s="4" t="n">
        <v>0.85</v>
      </c>
      <c r="J60" s="4">
        <f>H60*I60</f>
      </c>
      <c r="K60" s="3" t="inlineStr">
        <is>
          <t xml:space="preserve">TBD molder</t>
        </is>
      </c>
      <c r="L60" s="5" t="n">
        <v>12</v>
      </c>
      <c r="M60" s="6" t="inlineStr">
        <is>
          <t xml:space="preserve">T1</t>
        </is>
      </c>
      <c r="N60" s="10" t="inlineStr">
        <is>
          <t xml:space="preserve">Med</t>
        </is>
      </c>
    </row>
    <row r="61">
      <c r="A61" s="5" t="n">
        <v>48</v>
      </c>
      <c r="B61" s="3" t="inlineStr">
        <is>
          <t xml:space="preserve">12. Mech</t>
        </is>
      </c>
      <c r="C61" s="3" t="inlineStr">
        <is>
          <t xml:space="preserve">Rear housing aluminum (anodized)</t>
        </is>
      </c>
      <c r="D61" s="3" t="inlineStr">
        <is>
          <t xml:space="preserve">TBD CNC</t>
        </is>
      </c>
      <c r="E61" s="3" t="inlineStr">
        <is>
          <t xml:space="preserve">RH-002-ALU6063</t>
        </is>
      </c>
      <c r="F61" s="3" t="inlineStr">
        <is>
          <t xml:space="preserve">CNC + anodize</t>
        </is>
      </c>
      <c r="G61" s="3" t="inlineStr">
        <is>
          <t xml:space="preserve">T6, ETA-2 finish, 1 antenna window</t>
        </is>
      </c>
      <c r="H61" s="5" t="n">
        <v>1</v>
      </c>
      <c r="I61" s="4" t="n">
        <v>1.2</v>
      </c>
      <c r="J61" s="4">
        <f>H61*I61</f>
      </c>
      <c r="K61" s="3" t="inlineStr">
        <is>
          <t xml:space="preserve">TBD CNC</t>
        </is>
      </c>
      <c r="L61" s="5" t="n">
        <v>14</v>
      </c>
      <c r="M61" s="6" t="inlineStr">
        <is>
          <t xml:space="preserve">T1</t>
        </is>
      </c>
      <c r="N61" s="10" t="inlineStr">
        <is>
          <t xml:space="preserve">Med</t>
        </is>
      </c>
    </row>
    <row r="62">
      <c r="A62" s="5" t="n">
        <v>49</v>
      </c>
      <c r="B62" s="3" t="inlineStr">
        <is>
          <t xml:space="preserve">12. Mech</t>
        </is>
      </c>
      <c r="C62" s="3" t="inlineStr">
        <is>
          <t xml:space="preserve">O-ring silicone IP67</t>
        </is>
      </c>
      <c r="D62" s="3" t="inlineStr">
        <is>
          <t xml:space="preserve">TBD seal</t>
        </is>
      </c>
      <c r="E62" s="3" t="inlineStr">
        <is>
          <t xml:space="preserve">OR-0.6mm-Sil70</t>
        </is>
      </c>
      <c r="F62" s="3" t="inlineStr">
        <is>
          <t xml:space="preserve">Custom profile</t>
        </is>
      </c>
      <c r="G62" s="3" t="inlineStr">
        <is>
          <t xml:space="preserve">Shore A70, perimeter seal</t>
        </is>
      </c>
      <c r="H62" s="5" t="n">
        <v>1</v>
      </c>
      <c r="I62" s="4" t="n">
        <v>0.12</v>
      </c>
      <c r="J62" s="4">
        <f>H62*I62</f>
      </c>
      <c r="K62" s="3" t="inlineStr">
        <is>
          <t xml:space="preserve">TBD seal</t>
        </is>
      </c>
      <c r="L62" s="5" t="n">
        <v>6</v>
      </c>
      <c r="M62" s="8" t="inlineStr">
        <is>
          <t xml:space="preserve">T3</t>
        </is>
      </c>
      <c r="N62" s="11" t="inlineStr">
        <is>
          <t xml:space="preserve">Low</t>
        </is>
      </c>
    </row>
    <row r="63">
      <c r="A63" s="5" t="n">
        <v>50</v>
      </c>
      <c r="B63" s="3" t="inlineStr">
        <is>
          <t xml:space="preserve">12. Mech</t>
        </is>
      </c>
      <c r="C63" s="3" t="inlineStr">
        <is>
          <t xml:space="preserve">Acrylic lens window (AR coated)</t>
        </is>
      </c>
      <c r="D63" s="3" t="inlineStr">
        <is>
          <t xml:space="preserve">TBD optics</t>
        </is>
      </c>
      <c r="E63" s="3" t="inlineStr">
        <is>
          <t xml:space="preserve">LW-001-AR</t>
        </is>
      </c>
      <c r="F63" s="3" t="inlineStr">
        <is>
          <t xml:space="preserve">Sapphire alt avail</t>
        </is>
      </c>
      <c r="G63" s="3" t="inlineStr">
        <is>
          <t xml:space="preserve">AR coat both sides, R&lt;0.4%@VIS</t>
        </is>
      </c>
      <c r="H63" s="5" t="n">
        <v>1</v>
      </c>
      <c r="I63" s="4" t="n">
        <v>0.45</v>
      </c>
      <c r="J63" s="4">
        <f>H63*I63</f>
      </c>
      <c r="K63" s="3" t="inlineStr">
        <is>
          <t xml:space="preserve">TBD optics</t>
        </is>
      </c>
      <c r="L63" s="5" t="n">
        <v>8</v>
      </c>
      <c r="M63" s="7" t="inlineStr">
        <is>
          <t xml:space="preserve">T2</t>
        </is>
      </c>
      <c r="N63" s="10" t="inlineStr">
        <is>
          <t xml:space="preserve">Med</t>
        </is>
      </c>
    </row>
    <row r="64">
      <c r="A64" s="5" t="n">
        <v>51</v>
      </c>
      <c r="B64" s="3" t="inlineStr">
        <is>
          <t xml:space="preserve">12. Mech</t>
        </is>
      </c>
      <c r="C64" s="3" t="inlineStr">
        <is>
          <t xml:space="preserve">Clip mechanism (steel + spring)</t>
        </is>
      </c>
      <c r="D64" s="3" t="inlineStr">
        <is>
          <t xml:space="preserve">TBD hw</t>
        </is>
      </c>
      <c r="E64" s="3" t="inlineStr">
        <is>
          <t xml:space="preserve">CL-003-SS304</t>
        </is>
      </c>
      <c r="F64" s="3" t="inlineStr">
        <is>
          <t xml:space="preserve">SS304</t>
        </is>
      </c>
      <c r="G64" s="3" t="inlineStr">
        <is>
          <t xml:space="preserve">Sprung clip, 5N retention</t>
        </is>
      </c>
      <c r="H64" s="5" t="n">
        <v>1</v>
      </c>
      <c r="I64" s="4" t="n">
        <v>0.95</v>
      </c>
      <c r="J64" s="4">
        <f>H64*I64</f>
      </c>
      <c r="K64" s="3" t="inlineStr">
        <is>
          <t xml:space="preserve">TBD hw</t>
        </is>
      </c>
      <c r="L64" s="5" t="n">
        <v>10</v>
      </c>
      <c r="M64" s="7" t="inlineStr">
        <is>
          <t xml:space="preserve">T2</t>
        </is>
      </c>
      <c r="N64" s="10" t="inlineStr">
        <is>
          <t xml:space="preserve">Med</t>
        </is>
      </c>
    </row>
    <row r="65">
      <c r="A65" s="5" t="n">
        <v>52</v>
      </c>
      <c r="B65" s="3" t="inlineStr">
        <is>
          <t xml:space="preserve">12. Mech</t>
        </is>
      </c>
      <c r="C65" s="3" t="inlineStr">
        <is>
          <t xml:space="preserve">Foam gaskets / acoustic damp</t>
        </is>
      </c>
      <c r="D65" s="3" t="inlineStr">
        <is>
          <t xml:space="preserve">3M</t>
        </is>
      </c>
      <c r="E65" s="3" t="inlineStr">
        <is>
          <t xml:space="preserve">VHB-5915 + foam</t>
        </is>
      </c>
      <c r="F65" s="3" t="inlineStr">
        <is>
          <t xml:space="preserve">Die-cut</t>
        </is>
      </c>
      <c r="G65" s="3" t="inlineStr">
        <is>
          <t xml:space="preserve">VHB tape + acoustic foam</t>
        </is>
      </c>
      <c r="H65" s="5" t="n">
        <v>1</v>
      </c>
      <c r="I65" s="4" t="n">
        <v>0.18</v>
      </c>
      <c r="J65" s="4">
        <f>H65*I65</f>
      </c>
      <c r="K65" s="3" t="inlineStr">
        <is>
          <t xml:space="preserve">3M / local</t>
        </is>
      </c>
      <c r="L65" s="5" t="n">
        <v>6</v>
      </c>
      <c r="M65" s="8" t="inlineStr">
        <is>
          <t xml:space="preserve">T3</t>
        </is>
      </c>
      <c r="N65" s="11" t="inlineStr">
        <is>
          <t xml:space="preserve">Low</t>
        </is>
      </c>
    </row>
    <row r="66">
      <c r="A66" s="5" t="n">
        <v>53</v>
      </c>
      <c r="B66" s="3" t="inlineStr">
        <is>
          <t xml:space="preserve">12. Mech</t>
        </is>
      </c>
      <c r="C66" s="3" t="inlineStr">
        <is>
          <t xml:space="preserve">Screws (M1.4 SS torx)</t>
        </is>
      </c>
      <c r="D66" s="3" t="inlineStr">
        <is>
          <t xml:space="preserve">Generic</t>
        </is>
      </c>
      <c r="E66" s="3" t="inlineStr">
        <is>
          <t xml:space="preserve">M1.4x3-T5</t>
        </is>
      </c>
      <c r="F66" s="3" t="inlineStr">
        <is>
          <t xml:space="preserve">SS304</t>
        </is>
      </c>
      <c r="G66" s="3" t="inlineStr">
        <is>
          <t xml:space="preserve">Black-oxide, x6</t>
        </is>
      </c>
      <c r="H66" s="5" t="n">
        <v>6</v>
      </c>
      <c r="I66" s="4" t="n">
        <v>0.02</v>
      </c>
      <c r="J66" s="4">
        <f>H66*I66</f>
      </c>
      <c r="K66" s="3" t="inlineStr">
        <is>
          <t xml:space="preserve">Local fastener</t>
        </is>
      </c>
      <c r="L66" s="5" t="n">
        <v>4</v>
      </c>
      <c r="M66" s="8" t="inlineStr">
        <is>
          <t xml:space="preserve">T3</t>
        </is>
      </c>
      <c r="N66" s="11" t="inlineStr">
        <is>
          <t xml:space="preserve">Low</t>
        </is>
      </c>
    </row>
    <row r="67">
      <c r="A67" s="12" t="inlineStr">
        <is>
          <t xml:space="preserve">13. Pack</t>
        </is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</row>
    <row r="68">
      <c r="A68" s="5" t="n">
        <v>54</v>
      </c>
      <c r="B68" s="3" t="inlineStr">
        <is>
          <t xml:space="preserve">13. Pack</t>
        </is>
      </c>
      <c r="C68" s="3" t="inlineStr">
        <is>
          <t xml:space="preserve">Retail box (printed)</t>
        </is>
      </c>
      <c r="D68" s="3" t="inlineStr">
        <is>
          <t xml:space="preserve">TBD print</t>
        </is>
      </c>
      <c r="E68" s="3" t="inlineStr">
        <is>
          <t xml:space="preserve">BOX-001</t>
        </is>
      </c>
      <c r="F68" s="3" t="inlineStr">
        <is>
          <t xml:space="preserve">Litho 4C+matte</t>
        </is>
      </c>
      <c r="G68" s="3" t="inlineStr">
        <is>
          <t xml:space="preserve">FSC paper, magnetic flap</t>
        </is>
      </c>
      <c r="H68" s="5" t="n">
        <v>1</v>
      </c>
      <c r="I68" s="4" t="n">
        <v>0.65</v>
      </c>
      <c r="J68" s="4">
        <f>H68*I68</f>
      </c>
      <c r="K68" s="3" t="inlineStr">
        <is>
          <t xml:space="preserve">TBD print</t>
        </is>
      </c>
      <c r="L68" s="5" t="n">
        <v>8</v>
      </c>
      <c r="M68" s="8" t="inlineStr">
        <is>
          <t xml:space="preserve">T3</t>
        </is>
      </c>
      <c r="N68" s="11" t="inlineStr">
        <is>
          <t xml:space="preserve">Low</t>
        </is>
      </c>
    </row>
    <row r="69">
      <c r="A69" s="5" t="n">
        <v>55</v>
      </c>
      <c r="B69" s="3" t="inlineStr">
        <is>
          <t xml:space="preserve">13. Pack</t>
        </is>
      </c>
      <c r="C69" s="3" t="inlineStr">
        <is>
          <t xml:space="preserve">USB-C charge cable (1m)</t>
        </is>
      </c>
      <c r="D69" s="3" t="inlineStr">
        <is>
          <t xml:space="preserve">Generic</t>
        </is>
      </c>
      <c r="E69" s="3" t="inlineStr">
        <is>
          <t xml:space="preserve">CBL-USB-C-1m</t>
        </is>
      </c>
      <c r="F69" s="3" t="inlineStr">
        <is>
          <t xml:space="preserve">TPE jacket</t>
        </is>
      </c>
      <c r="G69" s="3" t="inlineStr">
        <is>
          <t xml:space="preserve">USB-C to Pogo magnetic, eMark optional</t>
        </is>
      </c>
      <c r="H69" s="5" t="n">
        <v>1</v>
      </c>
      <c r="I69" s="4" t="n">
        <v>0.55</v>
      </c>
      <c r="J69" s="4">
        <f>H69*I69</f>
      </c>
      <c r="K69" s="3" t="inlineStr">
        <is>
          <t xml:space="preserve">TBD</t>
        </is>
      </c>
      <c r="L69" s="5" t="n">
        <v>6</v>
      </c>
      <c r="M69" s="8" t="inlineStr">
        <is>
          <t xml:space="preserve">T3</t>
        </is>
      </c>
      <c r="N69" s="11" t="inlineStr">
        <is>
          <t xml:space="preserve">Low</t>
        </is>
      </c>
    </row>
    <row r="70">
      <c r="A70" s="5" t="n">
        <v>56</v>
      </c>
      <c r="B70" s="3" t="inlineStr">
        <is>
          <t xml:space="preserve">13. Pack</t>
        </is>
      </c>
      <c r="C70" s="3" t="inlineStr">
        <is>
          <t xml:space="preserve">Quick-start manual</t>
        </is>
      </c>
      <c r="D70" s="3" t="inlineStr">
        <is>
          <t xml:space="preserve">TBD print</t>
        </is>
      </c>
      <c r="E70" s="3" t="inlineStr">
        <is>
          <t xml:space="preserve">QSG-001</t>
        </is>
      </c>
      <c r="F70" s="3" t="inlineStr">
        <is>
          <t xml:space="preserve">Folded paper</t>
        </is>
      </c>
      <c r="G70" s="3" t="inlineStr">
        <is>
          <t xml:space="preserve">5 languages</t>
        </is>
      </c>
      <c r="H70" s="5" t="n">
        <v>1</v>
      </c>
      <c r="I70" s="4" t="n">
        <v>0.08</v>
      </c>
      <c r="J70" s="4">
        <f>H70*I70</f>
      </c>
      <c r="K70" s="3" t="inlineStr">
        <is>
          <t xml:space="preserve">TBD print</t>
        </is>
      </c>
      <c r="L70" s="5" t="n">
        <v>6</v>
      </c>
      <c r="M70" s="8" t="inlineStr">
        <is>
          <t xml:space="preserve">T3</t>
        </is>
      </c>
      <c r="N70" s="11" t="inlineStr">
        <is>
          <t xml:space="preserve">Low</t>
        </is>
      </c>
    </row>
    <row r="71">
      <c r="A71" s="5" t="n">
        <v>57</v>
      </c>
      <c r="B71" s="3" t="inlineStr">
        <is>
          <t xml:space="preserve">13. Pack</t>
        </is>
      </c>
      <c r="C71" s="3" t="inlineStr">
        <is>
          <t xml:space="preserve">Inner tray (molded pulp)</t>
        </is>
      </c>
      <c r="D71" s="3" t="inlineStr">
        <is>
          <t xml:space="preserve">TBD pulp</t>
        </is>
      </c>
      <c r="E71" s="3" t="inlineStr">
        <is>
          <t xml:space="preserve">TRAY-001</t>
        </is>
      </c>
      <c r="F71" s="3" t="inlineStr">
        <is>
          <t xml:space="preserve">Pulp</t>
        </is>
      </c>
      <c r="G71" s="3" t="inlineStr">
        <is>
          <t xml:space="preserve">Molded pulp, FSC</t>
        </is>
      </c>
      <c r="H71" s="5" t="n">
        <v>1</v>
      </c>
      <c r="I71" s="4" t="n">
        <v>0.18</v>
      </c>
      <c r="J71" s="4">
        <f>H71*I71</f>
      </c>
      <c r="K71" s="3" t="inlineStr">
        <is>
          <t xml:space="preserve">TBD pulp</t>
        </is>
      </c>
      <c r="L71" s="5" t="n">
        <v>6</v>
      </c>
      <c r="M71" s="8" t="inlineStr">
        <is>
          <t xml:space="preserve">T3</t>
        </is>
      </c>
      <c r="N71" s="11" t="inlineStr">
        <is>
          <t xml:space="preserve">Low</t>
        </is>
      </c>
    </row>
    <row r="72">
      <c r="A72" s="12" t="inlineStr">
        <is>
          <t xml:space="preserve">14. Cert / Amort</t>
        </is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</row>
    <row r="73">
      <c r="A73" s="5" t="n">
        <v>58</v>
      </c>
      <c r="B73" s="3" t="inlineStr">
        <is>
          <t xml:space="preserve">14. Cert / Amort</t>
        </is>
      </c>
      <c r="C73" s="3" t="inlineStr">
        <is>
          <t xml:space="preserve">FCC ID + CE-RED amortized</t>
        </is>
      </c>
      <c r="D73" s="3" t="inlineStr">
        <is>
          <t xml:space="preserve">Cert house</t>
        </is>
      </c>
      <c r="E73" s="3" t="inlineStr">
        <is>
          <t xml:space="preserve">Cert-bundle</t>
        </is>
      </c>
      <c r="F73" s="3" t="inlineStr">
        <is>
          <t xml:space="preserve">Service</t>
        </is>
      </c>
      <c r="G73" s="3" t="inlineStr">
        <is>
          <t xml:space="preserve">FCC/CE/SRRC, amortized /10K units</t>
        </is>
      </c>
      <c r="H73" s="5" t="n">
        <v>1</v>
      </c>
      <c r="I73" s="4" t="n">
        <v>0.35</v>
      </c>
      <c r="J73" s="4">
        <f>H73*I73</f>
      </c>
      <c r="K73" s="3" t="inlineStr">
        <is>
          <t xml:space="preserve">Bureau Veritas / SGS</t>
        </is>
      </c>
      <c r="L73" s="5" t="n">
        <v>16</v>
      </c>
      <c r="M73" s="6" t="inlineStr">
        <is>
          <t xml:space="preserve">T1</t>
        </is>
      </c>
      <c r="N73" s="9" t="inlineStr">
        <is>
          <t xml:space="preserve">High</t>
        </is>
      </c>
    </row>
    <row r="74">
      <c r="A74" s="5" t="n">
        <v>59</v>
      </c>
      <c r="B74" s="3" t="inlineStr">
        <is>
          <t xml:space="preserve">14. Cert / Amort</t>
        </is>
      </c>
      <c r="C74" s="3" t="inlineStr">
        <is>
          <t xml:space="preserve">UN38.3 + IEC62133 (battery)</t>
        </is>
      </c>
      <c r="D74" s="3" t="inlineStr">
        <is>
          <t xml:space="preserve">Cert house</t>
        </is>
      </c>
      <c r="E74" s="3" t="inlineStr">
        <is>
          <t xml:space="preserve">BattCert-bundle</t>
        </is>
      </c>
      <c r="F74" s="3" t="inlineStr">
        <is>
          <t xml:space="preserve">Service</t>
        </is>
      </c>
      <c r="G74" s="3" t="inlineStr">
        <is>
          <t xml:space="preserve">Battery transport+safety, amortized /10K</t>
        </is>
      </c>
      <c r="H74" s="5" t="n">
        <v>1</v>
      </c>
      <c r="I74" s="4" t="n">
        <v>0.18</v>
      </c>
      <c r="J74" s="4">
        <f>H74*I74</f>
      </c>
      <c r="K74" s="3" t="inlineStr">
        <is>
          <t xml:space="preserve">TUV / SGS</t>
        </is>
      </c>
      <c r="L74" s="5" t="n">
        <v>12</v>
      </c>
      <c r="M74" s="6" t="inlineStr">
        <is>
          <t xml:space="preserve">T1</t>
        </is>
      </c>
      <c r="N74" s="9" t="inlineStr">
        <is>
          <t xml:space="preserve">High</t>
        </is>
      </c>
    </row>
    <row r="75">
      <c r="A75" s="5" t="n">
        <v>60</v>
      </c>
      <c r="B75" s="3" t="inlineStr">
        <is>
          <t xml:space="preserve">14. Cert / Amort</t>
        </is>
      </c>
      <c r="C75" s="3" t="inlineStr">
        <is>
          <t xml:space="preserve">SW / firmware NRE amortized</t>
        </is>
      </c>
      <c r="D75" s="3" t="inlineStr">
        <is>
          <t xml:space="preserve">Internal</t>
        </is>
      </c>
      <c r="E75" s="3" t="inlineStr">
        <is>
          <t xml:space="preserve">FW-NRE-amort</t>
        </is>
      </c>
      <c r="F75" s="3" t="inlineStr">
        <is>
          <t xml:space="preserve">NRE</t>
        </is>
      </c>
      <c r="G75" s="3" t="inlineStr">
        <is>
          <t xml:space="preserve">FW + cloud NRE, amortized /50K planned</t>
        </is>
      </c>
      <c r="H75" s="5" t="n">
        <v>1</v>
      </c>
      <c r="I75" s="4" t="n">
        <v>0.8</v>
      </c>
      <c r="J75" s="4">
        <f>H75*I75</f>
      </c>
      <c r="K75" s="3" t="inlineStr">
        <is>
          <t xml:space="preserve">Internal</t>
        </is>
      </c>
      <c r="L75" s="5" t="n">
        <v>0</v>
      </c>
      <c r="M75" s="6" t="inlineStr">
        <is>
          <t xml:space="preserve">T1</t>
        </is>
      </c>
      <c r="N75" s="10" t="inlineStr">
        <is>
          <t xml:space="preserve">Med</t>
        </is>
      </c>
    </row>
    <row r="76">
      <c r="A76" s="13"/>
      <c r="B76" s="13"/>
      <c r="C76" s="13" t="inlineStr">
        <is>
          <t xml:space="preserve">TOTAL BOM (USD per unit @ 10K MOQ)</t>
        </is>
      </c>
      <c r="D76" s="13"/>
      <c r="E76" s="13"/>
      <c r="F76" s="13"/>
      <c r="G76" s="13"/>
      <c r="H76" s="13"/>
      <c r="I76" s="13" t="inlineStr">
        <is>
          <t xml:space="preserve">Subtotal:</t>
        </is>
      </c>
      <c r="J76" s="13">
        <f>SUM(J2:J75)</f>
      </c>
      <c r="K76" s="13"/>
      <c r="L76" s="13"/>
      <c r="M76" s="13"/>
      <c r="N76" s="13"/>
    </row>
  </sheetData>
</worksheet>
</file>

<file path=xl/worksheets/sheet3.xml><?xml version="1.0" encoding="utf-8"?>
<worksheet xmlns="http://schemas.openxmlformats.org/spreadsheetml/2006/main">
  <sheetViews>
    <sheetView tabSelected="1" workbookViewId="0">
      <pane xSplit="2" ySplit="1" topLeftCell="C2" activePane="bottomRight" state="frozen"/>
    </sheetView>
  </sheetViews>
  <cols>
    <col min="1" max="1" width="6" customWidth="1"/>
    <col min="2" max="2" width="22" customWidth="1"/>
    <col min="3" max="3" width="22" customWidth="1"/>
    <col min="4" max="4" width="14" customWidth="1"/>
    <col min="5" max="5" width="11" customWidth="1"/>
    <col min="6" max="6" width="22" customWidth="1"/>
    <col min="7" max="7" width="14" customWidth="1"/>
    <col min="8" max="8" width="11" customWidth="1"/>
    <col min="9" max="9" width="18" customWidth="1"/>
    <col min="10" max="10" width="22" customWidth="1"/>
    <col min="11" max="11" width="14" customWidth="1"/>
    <col min="12" max="12" width="11" customWidth="1"/>
    <col min="13" max="13" width="18" customWidth="1"/>
    <col min="14" max="14" width="14" customWidth="1"/>
    <col min="15" max="15" width="50" customWidth="1"/>
  </cols>
  <sheetData>
    <row r="1" ht="32" customHeight="1">
      <c r="A1" s="2" t="inlineStr">
        <is>
          <t xml:space="preserve">BOM #</t>
        </is>
      </c>
      <c r="B1" s="2" t="inlineStr">
        <is>
          <t xml:space="preserve">Item / Function</t>
        </is>
      </c>
      <c r="C1" s="2" t="inlineStr">
        <is>
          <t xml:space="preserve">Primary MPN</t>
        </is>
      </c>
      <c r="D1" s="2" t="inlineStr">
        <is>
          <t xml:space="preserve">Primary Mfr</t>
        </is>
      </c>
      <c r="E1" s="2" t="inlineStr">
        <is>
          <t xml:space="preserve">Primary $</t>
        </is>
      </c>
      <c r="F1" s="2" t="inlineStr">
        <is>
          <t xml:space="preserve">Alt-1 MPN</t>
        </is>
      </c>
      <c r="G1" s="2" t="inlineStr">
        <is>
          <t xml:space="preserve">Alt-1 Mfr</t>
        </is>
      </c>
      <c r="H1" s="2" t="inlineStr">
        <is>
          <t xml:space="preserve">Alt-1 $</t>
        </is>
      </c>
      <c r="I1" s="2" t="inlineStr">
        <is>
          <t xml:space="preserve">Alt-1 Pin-compat?</t>
        </is>
      </c>
      <c r="J1" s="2" t="inlineStr">
        <is>
          <t xml:space="preserve">Alt-2 MPN</t>
        </is>
      </c>
      <c r="K1" s="2" t="inlineStr">
        <is>
          <t xml:space="preserve">Alt-2 Mfr</t>
        </is>
      </c>
      <c r="L1" s="2" t="inlineStr">
        <is>
          <t xml:space="preserve">Alt-2 $</t>
        </is>
      </c>
      <c r="M1" s="2" t="inlineStr">
        <is>
          <t xml:space="preserve">Alt-2 Pin-compat?</t>
        </is>
      </c>
      <c r="N1" s="2" t="inlineStr">
        <is>
          <t xml:space="preserve">Switching Effort</t>
        </is>
      </c>
      <c r="O1" s="2" t="inlineStr">
        <is>
          <t xml:space="preserve">Notes</t>
        </is>
      </c>
    </row>
    <row r="2">
      <c r="A2" s="5" t="n">
        <v>1</v>
      </c>
      <c r="B2" s="3" t="inlineStr">
        <is>
          <t xml:space="preserve">Application SoC</t>
        </is>
      </c>
      <c r="C2" s="3" t="inlineStr">
        <is>
          <t xml:space="preserve">SSC338Q</t>
        </is>
      </c>
      <c r="D2" s="3" t="inlineStr">
        <is>
          <t xml:space="preserve">SigmaStar</t>
        </is>
      </c>
      <c r="E2" s="4" t="n">
        <v>4.5</v>
      </c>
      <c r="F2" s="3" t="inlineStr">
        <is>
          <t xml:space="preserve">CV28M</t>
        </is>
      </c>
      <c r="G2" s="3" t="inlineStr">
        <is>
          <t xml:space="preserve">Ambarella</t>
        </is>
      </c>
      <c r="H2" s="4" t="n">
        <v>12.0</v>
      </c>
      <c r="I2" s="3" t="inlineStr">
        <is>
          <t xml:space="preserve">No (PCB respin)</t>
        </is>
      </c>
      <c r="J2" s="3" t="inlineStr">
        <is>
          <t xml:space="preserve">V853</t>
        </is>
      </c>
      <c r="K2" s="3" t="inlineStr">
        <is>
          <t xml:space="preserve">Allwinner</t>
        </is>
      </c>
      <c r="L2" s="4" t="n">
        <v>3.8</v>
      </c>
      <c r="M2" s="3" t="inlineStr">
        <is>
          <t xml:space="preserve">No (SDK rework)</t>
        </is>
      </c>
      <c r="N2" s="9" t="inlineStr">
        <is>
          <t xml:space="preserve">High</t>
        </is>
      </c>
      <c r="O2" s="3" t="inlineStr">
        <is>
          <t xml:space="preserve">EVT 阶段 A/B 双版主板并行验证；正式选型在 EVT 末 freeze。</t>
        </is>
      </c>
    </row>
    <row r="3">
      <c r="A3" s="5" t="n">
        <v>2</v>
      </c>
      <c r="B3" s="3" t="inlineStr">
        <is>
          <t xml:space="preserve">Wi-Fi/BLE Combo</t>
        </is>
      </c>
      <c r="C3" s="3" t="inlineStr">
        <is>
          <t xml:space="preserve">RTL8821CS</t>
        </is>
      </c>
      <c r="D3" s="3" t="inlineStr">
        <is>
          <t xml:space="preserve">Realtek</t>
        </is>
      </c>
      <c r="E3" s="4" t="n">
        <v>1.8</v>
      </c>
      <c r="F3" s="3" t="inlineStr">
        <is>
          <t xml:space="preserve">AIC8800DC</t>
        </is>
      </c>
      <c r="G3" s="3" t="inlineStr">
        <is>
          <t xml:space="preserve">AICSemi</t>
        </is>
      </c>
      <c r="H3" s="4" t="n">
        <v>1.3</v>
      </c>
      <c r="I3" s="3" t="inlineStr">
        <is>
          <t xml:space="preserve">No</t>
        </is>
      </c>
      <c r="J3" s="3" t="inlineStr">
        <is>
          <t xml:space="preserve">ESP32-C6 (mod)</t>
        </is>
      </c>
      <c r="K3" s="3" t="inlineStr">
        <is>
          <t xml:space="preserve">Espressif</t>
        </is>
      </c>
      <c r="L3" s="4" t="n">
        <v>2.1</v>
      </c>
      <c r="M3" s="3" t="inlineStr">
        <is>
          <t xml:space="preserve">No</t>
        </is>
      </c>
      <c r="N3" s="10" t="inlineStr">
        <is>
          <t xml:space="preserve">Med</t>
        </is>
      </c>
      <c r="O3" s="3" t="inlineStr">
        <is>
          <t xml:space="preserve">若 SoC 改成 CV28M，自带 Wi-Fi 则此项可去除。</t>
        </is>
      </c>
    </row>
    <row r="4">
      <c r="A4" s="5" t="n">
        <v>3</v>
      </c>
      <c r="B4" s="3" t="inlineStr">
        <is>
          <t xml:space="preserve">DDR2 SDRAM</t>
        </is>
      </c>
      <c r="C4" s="3" t="inlineStr">
        <is>
          <t xml:space="preserve">M14D5121632A-2.5BG</t>
        </is>
      </c>
      <c r="D4" s="3" t="inlineStr">
        <is>
          <t xml:space="preserve">ESMT</t>
        </is>
      </c>
      <c r="E4" s="4" t="n">
        <v>1.2</v>
      </c>
      <c r="F4" s="3" t="inlineStr">
        <is>
          <t xml:space="preserve">EM68C32CWQG-25H</t>
        </is>
      </c>
      <c r="G4" s="3" t="inlineStr">
        <is>
          <t xml:space="preserve">Etron</t>
        </is>
      </c>
      <c r="H4" s="4" t="n">
        <v>1.3</v>
      </c>
      <c r="I4" s="3" t="inlineStr">
        <is>
          <t xml:space="preserve">Yes</t>
        </is>
      </c>
      <c r="J4" s="3" t="inlineStr">
        <is>
          <t xml:space="preserve">MT47H32M16HR-25</t>
        </is>
      </c>
      <c r="K4" s="3" t="inlineStr">
        <is>
          <t xml:space="preserve">Micron</t>
        </is>
      </c>
      <c r="L4" s="4" t="n">
        <v>1.8</v>
      </c>
      <c r="M4" s="3" t="inlineStr">
        <is>
          <t xml:space="preserve">Yes</t>
        </is>
      </c>
      <c r="N4" s="11" t="inlineStr">
        <is>
          <t xml:space="preserve">Low</t>
        </is>
      </c>
      <c r="O4" s="3" t="inlineStr">
        <is>
          <t xml:space="preserve">JEDEC 标准 BGA-90，3 家可二选一过料。</t>
        </is>
      </c>
    </row>
    <row r="5">
      <c r="A5" s="5" t="n">
        <v>5</v>
      </c>
      <c r="B5" s="3" t="inlineStr">
        <is>
          <t xml:space="preserve">eMMC 8GB</t>
        </is>
      </c>
      <c r="C5" s="3" t="inlineStr">
        <is>
          <t xml:space="preserve">THGBMNG5D1LBAIL</t>
        </is>
      </c>
      <c r="D5" s="3" t="inlineStr">
        <is>
          <t xml:space="preserve">Kioxia</t>
        </is>
      </c>
      <c r="E5" s="4" t="n">
        <v>3.4</v>
      </c>
      <c r="F5" s="3" t="inlineStr">
        <is>
          <t xml:space="preserve">EM68C32-8GB</t>
        </is>
      </c>
      <c r="G5" s="3" t="inlineStr">
        <is>
          <t xml:space="preserve">Samsung</t>
        </is>
      </c>
      <c r="H5" s="4" t="n">
        <v>3.8</v>
      </c>
      <c r="I5" s="3" t="inlineStr">
        <is>
          <t xml:space="preserve">Yes</t>
        </is>
      </c>
      <c r="J5" s="3" t="inlineStr">
        <is>
          <t xml:space="preserve">MTFC8GAKAJCN-4M</t>
        </is>
      </c>
      <c r="K5" s="3" t="inlineStr">
        <is>
          <t xml:space="preserve">Micron</t>
        </is>
      </c>
      <c r="L5" s="4" t="n">
        <v>3.95</v>
      </c>
      <c r="M5" s="3" t="inlineStr">
        <is>
          <t xml:space="preserve">Yes</t>
        </is>
      </c>
      <c r="N5" s="11" t="inlineStr">
        <is>
          <t xml:space="preserve">Low</t>
        </is>
      </c>
      <c r="O5" s="3" t="inlineStr">
        <is>
          <t xml:space="preserve">BGA-153 标准封装。</t>
        </is>
      </c>
    </row>
    <row r="6">
      <c r="A6" s="5" t="n">
        <v>8</v>
      </c>
      <c r="B6" s="3" t="inlineStr">
        <is>
          <t xml:space="preserve">CMOS Sensor (Main)</t>
        </is>
      </c>
      <c r="C6" s="3" t="inlineStr">
        <is>
          <t xml:space="preserve">OV13B10</t>
        </is>
      </c>
      <c r="D6" s="3" t="inlineStr">
        <is>
          <t xml:space="preserve">OmniVision</t>
        </is>
      </c>
      <c r="E6" s="4" t="n">
        <v>4.0</v>
      </c>
      <c r="F6" s="3" t="inlineStr">
        <is>
          <t xml:space="preserve">IMX681</t>
        </is>
      </c>
      <c r="G6" s="3" t="inlineStr">
        <is>
          <t xml:space="preserve">Sony</t>
        </is>
      </c>
      <c r="H6" s="4" t="n">
        <v>6.0</v>
      </c>
      <c r="I6" s="3" t="inlineStr">
        <is>
          <t xml:space="preserve">No</t>
        </is>
      </c>
      <c r="J6" s="3" t="inlineStr">
        <is>
          <t xml:space="preserve">SC500AI</t>
        </is>
      </c>
      <c r="K6" s="3" t="inlineStr">
        <is>
          <t xml:space="preserve">SmartSens</t>
        </is>
      </c>
      <c r="L6" s="4" t="n">
        <v>3.5</v>
      </c>
      <c r="M6" s="3" t="inlineStr">
        <is>
          <t xml:space="preserve">No</t>
        </is>
      </c>
      <c r="N6" s="9" t="inlineStr">
        <is>
          <t xml:space="preserve">High</t>
        </is>
      </c>
      <c r="O6" s="3" t="inlineStr">
        <is>
          <t xml:space="preserve">切换需重新 Tuning ISP；建议主备各跑一支 EVT 模组。</t>
        </is>
      </c>
    </row>
    <row r="7">
      <c r="A7" s="5" t="n">
        <v>13</v>
      </c>
      <c r="B7" s="3" t="inlineStr">
        <is>
          <t xml:space="preserve">Sub Sensor (AON)</t>
        </is>
      </c>
      <c r="C7" s="3" t="inlineStr">
        <is>
          <t xml:space="preserve">GC02M2</t>
        </is>
      </c>
      <c r="D7" s="3" t="inlineStr">
        <is>
          <t xml:space="preserve">GalaxyCore</t>
        </is>
      </c>
      <c r="E7" s="4" t="n">
        <v>1.2</v>
      </c>
      <c r="F7" s="3" t="inlineStr">
        <is>
          <t xml:space="preserve">OV02B1B</t>
        </is>
      </c>
      <c r="G7" s="3" t="inlineStr">
        <is>
          <t xml:space="preserve">OmniVision</t>
        </is>
      </c>
      <c r="H7" s="4" t="n">
        <v>1.4</v>
      </c>
      <c r="I7" s="3" t="inlineStr">
        <is>
          <t xml:space="preserve">No</t>
        </is>
      </c>
      <c r="J7" s="3" t="inlineStr">
        <is>
          <t xml:space="preserve">SC202CS</t>
        </is>
      </c>
      <c r="K7" s="3" t="inlineStr">
        <is>
          <t xml:space="preserve">SmartSens</t>
        </is>
      </c>
      <c r="L7" s="4" t="n">
        <v>1.1</v>
      </c>
      <c r="M7" s="3" t="inlineStr">
        <is>
          <t xml:space="preserve">No</t>
        </is>
      </c>
      <c r="N7" s="10" t="inlineStr">
        <is>
          <t xml:space="preserve">Med</t>
        </is>
      </c>
      <c r="O7" s="3" t="inlineStr">
        <is>
          <t xml:space="preserve">AON 路像素要求低，国产替代非常充足。</t>
        </is>
      </c>
    </row>
    <row r="8">
      <c r="A8" s="5" t="n">
        <v>15</v>
      </c>
      <c r="B8" s="3" t="inlineStr">
        <is>
          <t xml:space="preserve">MEMS Mic L/R</t>
        </is>
      </c>
      <c r="C8" s="3" t="inlineStr">
        <is>
          <t xml:space="preserve">SPH0641LU4H-1</t>
        </is>
      </c>
      <c r="D8" s="3" t="inlineStr">
        <is>
          <t xml:space="preserve">Knowles</t>
        </is>
      </c>
      <c r="E8" s="4" t="n">
        <v>1.6</v>
      </c>
      <c r="F8" s="3" t="inlineStr">
        <is>
          <t xml:space="preserve">ICS-41351</t>
        </is>
      </c>
      <c r="G8" s="3" t="inlineStr">
        <is>
          <t xml:space="preserve">TDK InvenSense</t>
        </is>
      </c>
      <c r="H8" s="4" t="n">
        <v>1.3</v>
      </c>
      <c r="I8" s="3" t="inlineStr">
        <is>
          <t xml:space="preserve">Pad-compat (review)</t>
        </is>
      </c>
      <c r="J8" s="3" t="inlineStr">
        <is>
          <t xml:space="preserve">T4040A0</t>
        </is>
      </c>
      <c r="K8" s="3" t="inlineStr">
        <is>
          <t xml:space="preserve">Goertek</t>
        </is>
      </c>
      <c r="L8" s="4" t="n">
        <v>0.95</v>
      </c>
      <c r="M8" s="3" t="inlineStr">
        <is>
          <t xml:space="preserve">Yes (most pads)</t>
        </is>
      </c>
      <c r="N8" s="10" t="inlineStr">
        <is>
          <t xml:space="preserve">Med</t>
        </is>
      </c>
      <c r="O8" s="3" t="inlineStr">
        <is>
          <t xml:space="preserve">国产 Goertek 性价比突出，AOP 略低（118 vs 120 dB）。</t>
        </is>
      </c>
    </row>
    <row r="9">
      <c r="A9" s="5" t="n">
        <v>20</v>
      </c>
      <c r="B9" s="3" t="inlineStr">
        <is>
          <t xml:space="preserve">6-axis IMU</t>
        </is>
      </c>
      <c r="C9" s="3" t="inlineStr">
        <is>
          <t xml:space="preserve">BMI270</t>
        </is>
      </c>
      <c r="D9" s="3" t="inlineStr">
        <is>
          <t xml:space="preserve">Bosch</t>
        </is>
      </c>
      <c r="E9" s="4" t="n">
        <v>1.1</v>
      </c>
      <c r="F9" s="3" t="inlineStr">
        <is>
          <t xml:space="preserve">ICM-42688-P</t>
        </is>
      </c>
      <c r="G9" s="3" t="inlineStr">
        <is>
          <t xml:space="preserve">TDK InvenSense</t>
        </is>
      </c>
      <c r="H9" s="4" t="n">
        <v>1.4</v>
      </c>
      <c r="I9" s="3" t="inlineStr">
        <is>
          <t xml:space="preserve">No</t>
        </is>
      </c>
      <c r="J9" s="3" t="inlineStr">
        <is>
          <t xml:space="preserve">QMI8658C</t>
        </is>
      </c>
      <c r="K9" s="3" t="inlineStr">
        <is>
          <t xml:space="preserve">QST</t>
        </is>
      </c>
      <c r="L9" s="4" t="n">
        <v>0.55</v>
      </c>
      <c r="M9" s="3" t="inlineStr">
        <is>
          <t xml:space="preserve">No</t>
        </is>
      </c>
      <c r="N9" s="10" t="inlineStr">
        <is>
          <t xml:space="preserve">Med</t>
        </is>
      </c>
      <c r="O9" s="3" t="inlineStr">
        <is>
          <t xml:space="preserve">DMP 算法差异；如用 BMI270，要买 BSX 库授权。</t>
        </is>
      </c>
    </row>
    <row r="10">
      <c r="A10" s="5" t="n">
        <v>22</v>
      </c>
      <c r="B10" s="3" t="inlineStr">
        <is>
          <t xml:space="preserve">ToF</t>
        </is>
      </c>
      <c r="C10" s="3" t="inlineStr">
        <is>
          <t xml:space="preserve">VL53L1X</t>
        </is>
      </c>
      <c r="D10" s="3" t="inlineStr">
        <is>
          <t xml:space="preserve">STMicro</t>
        </is>
      </c>
      <c r="E10" s="4" t="n">
        <v>1.4</v>
      </c>
      <c r="F10" s="3" t="inlineStr">
        <is>
          <t xml:space="preserve">TMF8801</t>
        </is>
      </c>
      <c r="G10" s="3" t="inlineStr">
        <is>
          <t xml:space="preserve">ams OSRAM</t>
        </is>
      </c>
      <c r="H10" s="4" t="n">
        <v>1.5</v>
      </c>
      <c r="I10" s="3" t="inlineStr">
        <is>
          <t xml:space="preserve">No</t>
        </is>
      </c>
      <c r="J10" s="3" t="inlineStr">
        <is>
          <t xml:space="preserve">VL53L0X</t>
        </is>
      </c>
      <c r="K10" s="3" t="inlineStr">
        <is>
          <t xml:space="preserve">STMicro</t>
        </is>
      </c>
      <c r="L10" s="4" t="n">
        <v>0.9</v>
      </c>
      <c r="M10" s="3" t="inlineStr">
        <is>
          <t xml:space="preserve">Pin-compat down-spec</t>
        </is>
      </c>
      <c r="N10" s="11" t="inlineStr">
        <is>
          <t xml:space="preserve">Low</t>
        </is>
      </c>
      <c r="O10" s="3" t="inlineStr">
        <is>
          <t xml:space="preserve">VL53L0X 距离 2m 起 → 仅 PoC 阶段可用。</t>
        </is>
      </c>
    </row>
    <row r="11">
      <c r="A11" s="5" t="n">
        <v>25</v>
      </c>
      <c r="B11" s="3" t="inlineStr">
        <is>
          <t xml:space="preserve">PMIC</t>
        </is>
      </c>
      <c r="C11" s="3" t="inlineStr">
        <is>
          <t xml:space="preserve">MAX77654AEWX+</t>
        </is>
      </c>
      <c r="D11" s="3" t="inlineStr">
        <is>
          <t xml:space="preserve">Maxim/ADI</t>
        </is>
      </c>
      <c r="E11" s="4" t="n">
        <v>1.85</v>
      </c>
      <c r="F11" s="3" t="inlineStr">
        <is>
          <t xml:space="preserve">BQ25180+TPS62840+BQ27220 set</t>
        </is>
      </c>
      <c r="G11" s="3" t="inlineStr">
        <is>
          <t xml:space="preserve">TI</t>
        </is>
      </c>
      <c r="H11" s="4" t="n">
        <v>2.1</v>
      </c>
      <c r="I11" s="3" t="inlineStr">
        <is>
          <t xml:space="preserve">No</t>
        </is>
      </c>
      <c r="J11" s="3" t="inlineStr">
        <is>
          <t xml:space="preserve">RT9426A+RT9470 set</t>
        </is>
      </c>
      <c r="K11" s="3" t="inlineStr">
        <is>
          <t xml:space="preserve">Richtek</t>
        </is>
      </c>
      <c r="L11" s="4" t="n">
        <v>1.65</v>
      </c>
      <c r="M11" s="3" t="inlineStr">
        <is>
          <t xml:space="preserve">No</t>
        </is>
      </c>
      <c r="N11" s="9" t="inlineStr">
        <is>
          <t xml:space="preserve">High</t>
        </is>
      </c>
      <c r="O11" s="3" t="inlineStr">
        <is>
          <t xml:space="preserve">PMIC 一旦 freeze 极难替换。EVT 必须只押 1 颗。</t>
        </is>
      </c>
    </row>
    <row r="12">
      <c r="A12" s="5" t="n">
        <v>27</v>
      </c>
      <c r="B12" s="3" t="inlineStr">
        <is>
          <t xml:space="preserve">Battery 350mAh</t>
        </is>
      </c>
      <c r="C12" s="3" t="inlineStr">
        <is>
          <t xml:space="preserve">ATL-353038-350</t>
        </is>
      </c>
      <c r="D12" s="3" t="inlineStr">
        <is>
          <t xml:space="preserve">ATL</t>
        </is>
      </c>
      <c r="E12" s="4" t="n">
        <v>2.4</v>
      </c>
      <c r="F12" s="3" t="inlineStr">
        <is>
          <t xml:space="preserve">EVE-353038-350</t>
        </is>
      </c>
      <c r="G12" s="3" t="inlineStr">
        <is>
          <t xml:space="preserve">EVE Energy</t>
        </is>
      </c>
      <c r="H12" s="4" t="n">
        <v>2.1</v>
      </c>
      <c r="I12" s="3" t="inlineStr">
        <is>
          <t xml:space="preserve">Yes (cell only)</t>
        </is>
      </c>
      <c r="J12" s="3" t="inlineStr">
        <is>
          <t xml:space="preserve">Lishen-353038-350</t>
        </is>
      </c>
      <c r="K12" s="3" t="inlineStr">
        <is>
          <t xml:space="preserve">Lishen</t>
        </is>
      </c>
      <c r="L12" s="4" t="n">
        <v>2.3</v>
      </c>
      <c r="M12" s="3" t="inlineStr">
        <is>
          <t xml:space="preserve">Yes (cell only)</t>
        </is>
      </c>
      <c r="N12" s="10" t="inlineStr">
        <is>
          <t xml:space="preserve">Med</t>
        </is>
      </c>
      <c r="O12" s="3" t="inlineStr">
        <is>
          <t xml:space="preserve">PCM/连接器需各厂分别打样验证；UN38.3 须按选定厂送测。</t>
        </is>
      </c>
    </row>
    <row r="13">
      <c r="A13" s="5" t="n">
        <v>31</v>
      </c>
      <c r="B13" s="3" t="inlineStr">
        <is>
          <t xml:space="preserve">Pogo Connector</t>
        </is>
      </c>
      <c r="C13" s="3" t="inlineStr">
        <is>
          <t xml:space="preserve">Mill-Max 850 series</t>
        </is>
      </c>
      <c r="D13" s="3" t="inlineStr">
        <is>
          <t xml:space="preserve">Mill-Max</t>
        </is>
      </c>
      <c r="E13" s="4" t="n">
        <v>2.4</v>
      </c>
      <c r="F13" s="3" t="inlineStr">
        <is>
          <t xml:space="preserve">Xinyi XY-PG-6P-Au076</t>
        </is>
      </c>
      <c r="G13" s="3" t="inlineStr">
        <is>
          <t xml:space="preserve">Xinyi (信音)</t>
        </is>
      </c>
      <c r="H13" s="4" t="n">
        <v>1.2</v>
      </c>
      <c r="I13" s="3" t="inlineStr">
        <is>
          <t xml:space="preserve">Footprint compat (要 review)</t>
        </is>
      </c>
      <c r="J13" s="3" t="inlineStr">
        <is>
          <t xml:space="preserve">Lianzhan custom</t>
        </is>
      </c>
      <c r="K13" s="3" t="inlineStr">
        <is>
          <t xml:space="preserve">Lianzhan (连展)</t>
        </is>
      </c>
      <c r="L13" s="4" t="n">
        <v>1.4</v>
      </c>
      <c r="M13" s="3" t="inlineStr">
        <is>
          <t xml:space="preserve">Custom</t>
        </is>
      </c>
      <c r="N13" s="10" t="inlineStr">
        <is>
          <t xml:space="preserve">Med</t>
        </is>
      </c>
      <c r="O13" s="3" t="inlineStr">
        <is>
          <t xml:space="preserve">国产 1.2 vs 进口 2.4，DVT 起切换可省 BOM ¥8.4。</t>
        </is>
      </c>
    </row>
    <row r="14">
      <c r="A14" s="5" t="n">
        <v>37</v>
      </c>
      <c r="B14" s="3" t="inlineStr">
        <is>
          <t xml:space="preserve">Antenna chip</t>
        </is>
      </c>
      <c r="C14" s="3" t="inlineStr">
        <is>
          <t xml:space="preserve">ANT-W63WS5-T</t>
        </is>
      </c>
      <c r="D14" s="3" t="inlineStr">
        <is>
          <t xml:space="preserve">Yageo</t>
        </is>
      </c>
      <c r="E14" s="4" t="n">
        <v>0.35</v>
      </c>
      <c r="F14" s="3" t="inlineStr">
        <is>
          <t xml:space="preserve">Pulse W3011</t>
        </is>
      </c>
      <c r="G14" s="3" t="inlineStr">
        <is>
          <t xml:space="preserve">Pulse</t>
        </is>
      </c>
      <c r="H14" s="4" t="n">
        <v>0.55</v>
      </c>
      <c r="I14" s="3" t="inlineStr">
        <is>
          <t xml:space="preserve">No</t>
        </is>
      </c>
      <c r="J14" s="3" t="inlineStr">
        <is>
          <t xml:space="preserve">FPC custom antenna</t>
        </is>
      </c>
      <c r="K14" s="3" t="inlineStr">
        <is>
          <t xml:space="preserve">Local</t>
        </is>
      </c>
      <c r="L14" s="4" t="n">
        <v>0.45</v>
      </c>
      <c r="M14" s="3" t="inlineStr">
        <is>
          <t xml:space="preserve">No</t>
        </is>
      </c>
      <c r="N14" s="10" t="inlineStr">
        <is>
          <t xml:space="preserve">Med</t>
        </is>
      </c>
      <c r="O14" s="3" t="inlineStr">
        <is>
          <t xml:space="preserve">FPC 天线性能更好但占空间。</t>
        </is>
      </c>
    </row>
    <row r="15">
      <c r="A15" s="5" t="n">
        <v>44</v>
      </c>
      <c r="B15" s="3" t="inlineStr">
        <is>
          <t xml:space="preserve">PCB Rigid-Flex</t>
        </is>
      </c>
      <c r="C15" s="3" t="inlineStr">
        <is>
          <t xml:space="preserve">Compeq 6L HDI-RF</t>
        </is>
      </c>
      <c r="D15" s="3" t="inlineStr">
        <is>
          <t xml:space="preserve">Compeq</t>
        </is>
      </c>
      <c r="E15" s="4" t="n">
        <v>5.2</v>
      </c>
      <c r="F15" s="3" t="inlineStr">
        <is>
          <t xml:space="preserve">KCE 6L HDI-RF</t>
        </is>
      </c>
      <c r="G15" s="3" t="inlineStr">
        <is>
          <t xml:space="preserve">KCE</t>
        </is>
      </c>
      <c r="H15" s="4" t="n">
        <v>4.8</v>
      </c>
      <c r="I15" s="3" t="inlineStr">
        <is>
          <t xml:space="preserve">Yes (gerber同源)</t>
        </is>
      </c>
      <c r="J15" s="3" t="inlineStr">
        <is>
          <t xml:space="preserve">Aoshikang 6L HDI-RF</t>
        </is>
      </c>
      <c r="K15" s="3" t="inlineStr">
        <is>
          <t xml:space="preserve">Aoshikang</t>
        </is>
      </c>
      <c r="L15" s="4" t="n">
        <v>4.3</v>
      </c>
      <c r="M15" s="3" t="inlineStr">
        <is>
          <t xml:space="preserve">Yes</t>
        </is>
      </c>
      <c r="N15" s="11" t="inlineStr">
        <is>
          <t xml:space="preserve">Low</t>
        </is>
      </c>
      <c r="O15" s="3" t="inlineStr">
        <is>
          <t xml:space="preserve">二阶 HDI + 1 层 Flex；3 家询价对比。</t>
        </is>
      </c>
    </row>
  </sheetData>
</worksheet>
</file>

<file path=xl/worksheets/sheet4.xml><?xml version="1.0" encoding="utf-8"?>
<worksheet xmlns="http://schemas.openxmlformats.org/spreadsheetml/2006/main">
  <sheetViews>
    <sheetView tabSelected="1" workbookViewId="0">
      <pane xSplit="1" ySplit="1" topLeftCell="B2" activePane="bottomRight" state="frozen"/>
    </sheetView>
  </sheetViews>
  <cols>
    <col min="1" max="1" width="16" customWidth="1"/>
    <col min="2" max="2" width="10" customWidth="1"/>
    <col min="3" max="3" width="14" customWidth="1"/>
    <col min="4" max="4" width="12" customWidth="1"/>
    <col min="5" max="5" width="18" customWidth="1"/>
    <col min="6" max="6" width="14" customWidth="1"/>
    <col min="7" max="7" width="14" customWidth="1"/>
    <col min="8" max="8" width="10" customWidth="1"/>
    <col min="9" max="9" width="14" customWidth="1"/>
    <col min="10" max="10" width="14" customWidth="1"/>
  </cols>
  <sheetData>
    <row r="1" ht="32" customHeight="1">
      <c r="A1" s="2" t="inlineStr">
        <is>
          <t xml:space="preserve">Volume Tier</t>
        </is>
      </c>
      <c r="B1" s="2" t="inlineStr">
        <is>
          <t xml:space="preserve">Build Phase</t>
        </is>
      </c>
      <c r="C1" s="2" t="inlineStr">
        <is>
          <t xml:space="preserve">Total BOM USD</t>
        </is>
      </c>
      <c r="D1" s="2" t="inlineStr">
        <is>
          <t xml:space="preserve">SoC + WiFi</t>
        </is>
      </c>
      <c r="E1" s="2" t="inlineStr">
        <is>
          <t xml:space="preserve">Imaging (Main+AON)</t>
        </is>
      </c>
      <c r="F1" s="2" t="inlineStr">
        <is>
          <t xml:space="preserve">Battery+PMIC</t>
        </is>
      </c>
      <c r="G1" s="2" t="inlineStr">
        <is>
          <t xml:space="preserve">Mech+Pack</t>
        </is>
      </c>
      <c r="H1" s="2" t="inlineStr">
        <is>
          <t xml:space="preserve">Other</t>
        </is>
      </c>
      <c r="I1" s="2" t="inlineStr">
        <is>
          <t xml:space="preserve">FOB target USD</t>
        </is>
      </c>
      <c r="J1" s="2" t="inlineStr">
        <is>
          <t xml:space="preserve">MSRP target USD</t>
        </is>
      </c>
    </row>
    <row r="2">
      <c r="A2" s="3" t="inlineStr">
        <is>
          <t xml:space="preserve">EVT (50pcs)</t>
        </is>
      </c>
      <c r="B2" s="5" t="inlineStr">
        <is>
          <t xml:space="preserve">EVT</t>
        </is>
      </c>
      <c r="C2" s="4">
        <f>D2+E2+F2+G2+H2</f>
      </c>
      <c r="D2" s="4" t="n">
        <v>9.5</v>
      </c>
      <c r="E2" s="4" t="n">
        <v>17.5</v>
      </c>
      <c r="F2" s="4" t="n">
        <v>7.2</v>
      </c>
      <c r="G2" s="4" t="n">
        <v>12.0</v>
      </c>
      <c r="H2" s="4" t="n">
        <v>31.8</v>
      </c>
      <c r="I2" s="4"/>
      <c r="J2" s="4"/>
    </row>
    <row r="3">
      <c r="A3" s="3" t="inlineStr">
        <is>
          <t xml:space="preserve">DVT (500pcs)</t>
        </is>
      </c>
      <c r="B3" s="5" t="inlineStr">
        <is>
          <t xml:space="preserve">DVT</t>
        </is>
      </c>
      <c r="C3" s="4">
        <f>D3+E3+F3+G3+H3</f>
      </c>
      <c r="D3" s="4" t="n">
        <v>7.8</v>
      </c>
      <c r="E3" s="4" t="n">
        <v>14.2</v>
      </c>
      <c r="F3" s="4" t="n">
        <v>6.4</v>
      </c>
      <c r="G3" s="4" t="n">
        <v>8.5</v>
      </c>
      <c r="H3" s="4" t="n">
        <v>15.1</v>
      </c>
      <c r="I3" s="4"/>
      <c r="J3" s="4"/>
    </row>
    <row r="4">
      <c r="A4" s="3" t="inlineStr">
        <is>
          <t xml:space="preserve">PVT (2K)</t>
        </is>
      </c>
      <c r="B4" s="5" t="inlineStr">
        <is>
          <t xml:space="preserve">PVT</t>
        </is>
      </c>
      <c r="C4" s="4">
        <f>D4+E4+F4+G4+H4</f>
      </c>
      <c r="D4" s="4" t="n">
        <v>6.8</v>
      </c>
      <c r="E4" s="4" t="n">
        <v>12.1</v>
      </c>
      <c r="F4" s="4" t="n">
        <v>5.8</v>
      </c>
      <c r="G4" s="4" t="n">
        <v>6.5</v>
      </c>
      <c r="H4" s="4" t="n">
        <v>6.8</v>
      </c>
      <c r="I4" s="4"/>
      <c r="J4" s="4"/>
    </row>
    <row r="5">
      <c r="A5" s="3" t="inlineStr">
        <is>
          <t xml:space="preserve">MP 10K</t>
        </is>
      </c>
      <c r="B5" s="5" t="inlineStr">
        <is>
          <t xml:space="preserve">MP</t>
        </is>
      </c>
      <c r="C5" s="4">
        <f>D5+E5+F5+G5+H5</f>
      </c>
      <c r="D5" s="4" t="n">
        <v>6.3</v>
      </c>
      <c r="E5" s="4" t="n">
        <v>10.0</v>
      </c>
      <c r="F5" s="4" t="n">
        <v>5.45</v>
      </c>
      <c r="G5" s="4" t="n">
        <v>5.4</v>
      </c>
      <c r="H5" s="4" t="n">
        <v>3.85</v>
      </c>
      <c r="I5" s="4" t="n">
        <v>35.0</v>
      </c>
      <c r="J5" s="4" t="n">
        <v>149.0</v>
      </c>
    </row>
    <row r="6">
      <c r="A6" s="3" t="inlineStr">
        <is>
          <t xml:space="preserve">MP 50K</t>
        </is>
      </c>
      <c r="B6" s="5" t="inlineStr">
        <is>
          <t xml:space="preserve">MP</t>
        </is>
      </c>
      <c r="C6" s="4">
        <f>D6+E6+F6+G6+H6</f>
      </c>
      <c r="D6" s="4" t="n">
        <v>5.8</v>
      </c>
      <c r="E6" s="4" t="n">
        <v>9.2</v>
      </c>
      <c r="F6" s="4" t="n">
        <v>5.1</v>
      </c>
      <c r="G6" s="4" t="n">
        <v>4.8</v>
      </c>
      <c r="H6" s="4" t="n">
        <v>2.6</v>
      </c>
      <c r="I6" s="4" t="n">
        <v>31.5</v>
      </c>
      <c r="J6" s="4" t="n">
        <v>149.0</v>
      </c>
    </row>
    <row r="7">
      <c r="A7" s="3" t="inlineStr">
        <is>
          <t xml:space="preserve">MP 200K</t>
        </is>
      </c>
      <c r="B7" s="5" t="inlineStr">
        <is>
          <t xml:space="preserve">MP</t>
        </is>
      </c>
      <c r="C7" s="4">
        <f>D7+E7+F7+G7+H7</f>
      </c>
      <c r="D7" s="4" t="n">
        <v>5.2</v>
      </c>
      <c r="E7" s="4" t="n">
        <v>8.3</v>
      </c>
      <c r="F7" s="4" t="n">
        <v>4.8</v>
      </c>
      <c r="G7" s="4" t="n">
        <v>4.3</v>
      </c>
      <c r="H7" s="4" t="n">
        <v>1.4</v>
      </c>
      <c r="I7" s="4" t="n">
        <v>27.5</v>
      </c>
      <c r="J7" s="4" t="n">
        <v>149.0</v>
      </c>
    </row>
  </sheetData>
</worksheet>
</file>

<file path=xl/worksheets/sheet5.xml><?xml version="1.0" encoding="utf-8"?>
<worksheet xmlns="http://schemas.openxmlformats.org/spreadsheetml/2006/main">
  <sheetViews>
    <sheetView tabSelected="1" workbookViewId="0">
      <pane xSplit="0" ySplit="1" topLeftCell="A2" activePane="bottomRight" state="frozen"/>
    </sheetView>
  </sheetViews>
  <cols>
    <col min="1" max="1" width="8" customWidth="1"/>
    <col min="2" max="2" width="38" customWidth="1"/>
    <col min="3" max="3" width="18" customWidth="1"/>
    <col min="4" max="4" width="16" customWidth="1"/>
    <col min="5" max="5" width="50" customWidth="1"/>
  </cols>
  <sheetData>
    <row r="1" ht="32" customHeight="1">
      <c r="A1" s="2" t="inlineStr">
        <is>
          <t xml:space="preserve">Phase</t>
        </is>
      </c>
      <c r="B1" s="2" t="inlineStr">
        <is>
          <t xml:space="preserve">Item</t>
        </is>
      </c>
      <c r="C1" s="2" t="inlineStr">
        <is>
          <t xml:space="preserve">Vendor Type</t>
        </is>
      </c>
      <c r="D1" s="2" t="inlineStr">
        <is>
          <t xml:space="preserve">USD Estimate</t>
        </is>
      </c>
      <c r="E1" s="2" t="inlineStr">
        <is>
          <t xml:space="preserve">Notes</t>
        </is>
      </c>
    </row>
    <row r="2">
      <c r="A2" s="5" t="inlineStr">
        <is>
          <t xml:space="preserve">ID</t>
        </is>
      </c>
      <c r="B2" s="3" t="inlineStr">
        <is>
          <t xml:space="preserve">Industrial design fees</t>
        </is>
      </c>
      <c r="C2" s="3" t="inlineStr">
        <is>
          <t xml:space="preserve">ID house</t>
        </is>
      </c>
      <c r="D2" s="4" t="n">
        <v>6000</v>
      </c>
      <c r="E2" s="3" t="inlineStr">
        <is>
          <t xml:space="preserve">2 rounds + final CMF</t>
        </is>
      </c>
    </row>
    <row r="3">
      <c r="A3" s="5" t="inlineStr">
        <is>
          <t xml:space="preserve">ID</t>
        </is>
      </c>
      <c r="B3" s="3" t="inlineStr">
        <is>
          <t xml:space="preserve">Hand model x10 (CNC+paint)</t>
        </is>
      </c>
      <c r="C3" s="3" t="inlineStr">
        <is>
          <t xml:space="preserve">Model shop</t>
        </is>
      </c>
      <c r="D3" s="4" t="n">
        <v>2500</v>
      </c>
      <c r="E3" s="3" t="inlineStr">
        <is>
          <t xml:space="preserve">for usability test</t>
        </is>
      </c>
    </row>
    <row r="4">
      <c r="A4" s="5" t="inlineStr">
        <is>
          <t xml:space="preserve">MD</t>
        </is>
      </c>
      <c r="B4" s="3" t="inlineStr">
        <is>
          <t xml:space="preserve">Mech design + DFM review</t>
        </is>
      </c>
      <c r="C4" s="3" t="inlineStr">
        <is>
          <t xml:space="preserve">MD house</t>
        </is>
      </c>
      <c r="D4" s="4" t="n">
        <v>8000</v>
      </c>
      <c r="E4" s="3" t="inlineStr">
        <is>
          <t xml:space="preserve">Includes drop sim</t>
        </is>
      </c>
    </row>
    <row r="5">
      <c r="A5" s="5" t="inlineStr">
        <is>
          <t xml:space="preserve">EE</t>
        </is>
      </c>
      <c r="B5" s="3" t="inlineStr">
        <is>
          <t xml:space="preserve">Schematic + Layout</t>
        </is>
      </c>
      <c r="C5" s="3" t="inlineStr">
        <is>
          <t xml:space="preserve">EE house</t>
        </is>
      </c>
      <c r="D5" s="4" t="n">
        <v>12000</v>
      </c>
      <c r="E5" s="3" t="inlineStr">
        <is>
          <t xml:space="preserve">6L HDI Rigid-Flex</t>
        </is>
      </c>
    </row>
    <row r="6">
      <c r="A6" s="5" t="inlineStr">
        <is>
          <t xml:space="preserve">EE</t>
        </is>
      </c>
      <c r="B6" s="3" t="inlineStr">
        <is>
          <t xml:space="preserve">EVT PCB fab + SMT (50pcs)</t>
        </is>
      </c>
      <c r="C6" s="3" t="inlineStr">
        <is>
          <t xml:space="preserve">Compeq + OEM</t>
        </is>
      </c>
      <c r="D6" s="4" t="n">
        <v>18000</v>
      </c>
      <c r="E6" s="3" t="inlineStr">
        <is>
          <t xml:space="preserve">Two SoC variants</t>
        </is>
      </c>
    </row>
    <row r="7">
      <c r="A7" s="5" t="inlineStr">
        <is>
          <t xml:space="preserve">MD</t>
        </is>
      </c>
      <c r="B7" s="3" t="inlineStr">
        <is>
          <t xml:space="preserve">EVT CNC housings (50sets)</t>
        </is>
      </c>
      <c r="C7" s="3" t="inlineStr">
        <is>
          <t xml:space="preserve">CNC shop</t>
        </is>
      </c>
      <c r="D7" s="4" t="n">
        <v>4500</v>
      </c>
      <c r="E7" s="3" t="inlineStr">
        <is>
          <t xml:space="preserve">Aluminum + PC+ABS</t>
        </is>
      </c>
    </row>
    <row r="8">
      <c r="A8" s="5" t="inlineStr">
        <is>
          <t xml:space="preserve">DVT</t>
        </is>
      </c>
      <c r="B8" s="3" t="inlineStr">
        <is>
          <t xml:space="preserve">Soft tool (aluminum mold)</t>
        </is>
      </c>
      <c r="C8" s="3" t="inlineStr">
        <is>
          <t xml:space="preserve">Mold maker</t>
        </is>
      </c>
      <c r="D8" s="4" t="n">
        <v>45000</v>
      </c>
      <c r="E8" s="3" t="inlineStr">
        <is>
          <t xml:space="preserve">Front+rear, ~5K shots</t>
        </is>
      </c>
    </row>
    <row r="9">
      <c r="A9" s="5" t="inlineStr">
        <is>
          <t xml:space="preserve">DVT</t>
        </is>
      </c>
      <c r="B9" s="3" t="inlineStr">
        <is>
          <t xml:space="preserve">DVT samples 200pcs</t>
        </is>
      </c>
      <c r="C9" s="3" t="inlineStr">
        <is>
          <t xml:space="preserve">OEM</t>
        </is>
      </c>
      <c r="D9" s="4" t="n">
        <v>22000</v>
      </c>
      <c r="E9" s="3" t="inlineStr">
        <is>
          <t xml:space="preserve">Small-line build</t>
        </is>
      </c>
    </row>
    <row r="10">
      <c r="A10" s="5" t="inlineStr">
        <is>
          <t xml:space="preserve">DVT</t>
        </is>
      </c>
      <c r="B10" s="3" t="inlineStr">
        <is>
          <t xml:space="preserve">Reliability lab tests</t>
        </is>
      </c>
      <c r="C10" s="3" t="inlineStr">
        <is>
          <t xml:space="preserve">SGS / TUV</t>
        </is>
      </c>
      <c r="D10" s="4" t="n">
        <v>9000</v>
      </c>
      <c r="E10" s="3" t="inlineStr">
        <is>
          <t xml:space="preserve">Drop, HALT, IPX7, etc</t>
        </is>
      </c>
    </row>
    <row r="11">
      <c r="A11" s="5" t="inlineStr">
        <is>
          <t xml:space="preserve">DVT</t>
        </is>
      </c>
      <c r="B11" s="3" t="inlineStr">
        <is>
          <t xml:space="preserve">Pre-compliance (FCC/CE/SRRC)</t>
        </is>
      </c>
      <c r="C11" s="3" t="inlineStr">
        <is>
          <t xml:space="preserve">Cert lab</t>
        </is>
      </c>
      <c r="D11" s="4" t="n">
        <v>7500</v>
      </c>
      <c r="E11" s="3" t="inlineStr">
        <is>
          <t xml:space="preserve">Pre-cert before PVT</t>
        </is>
      </c>
    </row>
    <row r="12">
      <c r="A12" s="5" t="inlineStr">
        <is>
          <t xml:space="preserve">PVT</t>
        </is>
      </c>
      <c r="B12" s="3" t="inlineStr">
        <is>
          <t xml:space="preserve">Steel mold (P20) production</t>
        </is>
      </c>
      <c r="C12" s="3" t="inlineStr">
        <is>
          <t xml:space="preserve">Mold maker</t>
        </is>
      </c>
      <c r="D12" s="4" t="n">
        <v>110000</v>
      </c>
      <c r="E12" s="3" t="inlineStr">
        <is>
          <t xml:space="preserve">Front+rear, ~300K shots</t>
        </is>
      </c>
    </row>
    <row r="13">
      <c r="A13" s="5" t="inlineStr">
        <is>
          <t xml:space="preserve">PVT</t>
        </is>
      </c>
      <c r="B13" s="3" t="inlineStr">
        <is>
          <t xml:space="preserve">FCT + ICT fixtures</t>
        </is>
      </c>
      <c r="C13" s="3" t="inlineStr">
        <is>
          <t xml:space="preserve">Fixture house</t>
        </is>
      </c>
      <c r="D13" s="4" t="n">
        <v>50000</v>
      </c>
      <c r="E13" s="3" t="inlineStr">
        <is>
          <t xml:space="preserve">FCT+ICT for production</t>
        </is>
      </c>
    </row>
    <row r="14">
      <c r="A14" s="5" t="inlineStr">
        <is>
          <t xml:space="preserve">PVT</t>
        </is>
      </c>
      <c r="B14" s="3" t="inlineStr">
        <is>
          <t xml:space="preserve">PVT build 2000pcs</t>
        </is>
      </c>
      <c r="C14" s="3" t="inlineStr">
        <is>
          <t xml:space="preserve">OEM</t>
        </is>
      </c>
      <c r="D14" s="4" t="n">
        <v>85000</v>
      </c>
      <c r="E14" s="3" t="inlineStr">
        <is>
          <t xml:space="preserve">Production-line build</t>
        </is>
      </c>
    </row>
    <row r="15">
      <c r="A15" s="5" t="inlineStr">
        <is>
          <t xml:space="preserve">MP</t>
        </is>
      </c>
      <c r="B15" s="3" t="inlineStr">
        <is>
          <t xml:space="preserve">Cert formal (FCC/CE/SRRC)</t>
        </is>
      </c>
      <c r="C15" s="3" t="inlineStr">
        <is>
          <t xml:space="preserve">Cert lab</t>
        </is>
      </c>
      <c r="D15" s="4" t="n">
        <v>18000</v>
      </c>
      <c r="E15" s="3" t="inlineStr">
        <is>
          <t xml:space="preserve">Formal certification</t>
        </is>
      </c>
    </row>
    <row r="16">
      <c r="A16" s="5" t="inlineStr">
        <is>
          <t xml:space="preserve">MP</t>
        </is>
      </c>
      <c r="B16" s="3" t="inlineStr">
        <is>
          <t xml:space="preserve">UN38.3 + IEC62133 + KC</t>
        </is>
      </c>
      <c r="C16" s="3" t="inlineStr">
        <is>
          <t xml:space="preserve">Cert lab</t>
        </is>
      </c>
      <c r="D16" s="4" t="n">
        <v>9500</v>
      </c>
      <c r="E16" s="3" t="inlineStr">
        <is>
          <t xml:space="preserve">Battery transport+safety</t>
        </is>
      </c>
    </row>
    <row r="17">
      <c r="A17" s="5" t="inlineStr">
        <is>
          <t xml:space="preserve">MP</t>
        </is>
      </c>
      <c r="B17" s="3" t="inlineStr">
        <is>
          <t xml:space="preserve">Tooling H13 (high-volume add-on)</t>
        </is>
      </c>
      <c r="C17" s="3" t="inlineStr">
        <is>
          <t xml:space="preserve">Mold maker</t>
        </is>
      </c>
      <c r="D17" s="4" t="n">
        <v>60000</v>
      </c>
      <c r="E17" s="3" t="inlineStr">
        <is>
          <t xml:space="preserve">Optional after 200K</t>
        </is>
      </c>
    </row>
    <row r="18">
      <c r="A18" s="5" t="inlineStr">
        <is>
          <t xml:space="preserve">MP</t>
        </is>
      </c>
      <c r="B18" s="3" t="inlineStr">
        <is>
          <t xml:space="preserve">Inventory + safety stock</t>
        </is>
      </c>
      <c r="C18" s="3" t="inlineStr">
        <is>
          <t xml:space="preserve">OEM</t>
        </is>
      </c>
      <c r="D18" s="4" t="n">
        <v>45000</v>
      </c>
      <c r="E18" s="3" t="inlineStr">
        <is>
          <t xml:space="preserve">Working capital reserve</t>
        </is>
      </c>
    </row>
    <row r="19">
      <c r="A19" s="13"/>
      <c r="B19" s="13" t="inlineStr">
        <is>
          <t xml:space="preserve">TOTAL one-time CapEx (USD)</t>
        </is>
      </c>
      <c r="C19" s="13"/>
      <c r="D19" s="13">
        <f>SUM(D2:D18)</f>
      </c>
      <c r="E19" s="13"/>
    </row>
  </sheetData>
</worksheet>
</file>

<file path=xl/worksheets/sheet6.xml><?xml version="1.0" encoding="utf-8"?>
<worksheet xmlns="http://schemas.openxmlformats.org/spreadsheetml/2006/main">
  <sheetViews>
    <sheetView tabSelected="1" workbookViewId="0">
      <pane xSplit="1" ySplit="1" topLeftCell="B2" activePane="bottomRight" state="frozen"/>
    </sheetView>
  </sheetViews>
  <cols>
    <col min="1" max="1" width="5" customWidth="1"/>
    <col min="2" max="2" width="36" customWidth="1"/>
    <col min="3" max="3" width="14" customWidth="1"/>
    <col min="4" max="4" width="14" customWidth="1"/>
    <col min="5" max="5" width="14" customWidth="1"/>
    <col min="6" max="6" width="10" customWidth="1"/>
    <col min="7" max="7" width="60" customWidth="1"/>
  </cols>
  <sheetData>
    <row r="1" ht="32" customHeight="1">
      <c r="A1" s="2" t="inlineStr">
        <is>
          <t xml:space="preserve">#</t>
        </is>
      </c>
      <c r="B1" s="2" t="inlineStr">
        <is>
          <t xml:space="preserve">Risk</t>
        </is>
      </c>
      <c r="C1" s="2" t="inlineStr">
        <is>
          <t xml:space="preserve">Linked BOM</t>
        </is>
      </c>
      <c r="D1" s="2" t="inlineStr">
        <is>
          <t xml:space="preserve">Likelihood (1-5)</t>
        </is>
      </c>
      <c r="E1" s="2" t="inlineStr">
        <is>
          <t xml:space="preserve">Impact (1-5)</t>
        </is>
      </c>
      <c r="F1" s="2" t="inlineStr">
        <is>
          <t xml:space="preserve">Score</t>
        </is>
      </c>
      <c r="G1" s="2" t="inlineStr">
        <is>
          <t xml:space="preserve">Mitigation</t>
        </is>
      </c>
    </row>
    <row r="2">
      <c r="A2" s="5" t="n">
        <v>1</v>
      </c>
      <c r="B2" s="3" t="inlineStr">
        <is>
          <t xml:space="preserve">SoC 缺货 / 价格波动</t>
        </is>
      </c>
      <c r="C2" s="3" t="inlineStr">
        <is>
          <t xml:space="preserve">1, 2</t>
        </is>
      </c>
      <c r="D2" s="5" t="n">
        <v>4</v>
      </c>
      <c r="E2" s="5" t="n">
        <v>5</v>
      </c>
      <c r="F2" s="4">
        <f>D2*E2</f>
      </c>
      <c r="G2" s="3" t="inlineStr">
        <is>
          <t xml:space="preserve">EVT 阶段 A/B 双方案并行；战略备货 6 个月 + 与代理商签 LTA</t>
        </is>
      </c>
    </row>
    <row r="3">
      <c r="A3" s="5" t="n">
        <v>2</v>
      </c>
      <c r="B3" s="3" t="inlineStr">
        <is>
          <t xml:space="preserve">Lens 模组良率 &lt; 80%</t>
        </is>
      </c>
      <c r="C3" s="3" t="inlineStr">
        <is>
          <t xml:space="preserve">9, 10</t>
        </is>
      </c>
      <c r="D3" s="5" t="n">
        <v>3</v>
      </c>
      <c r="E3" s="5" t="n">
        <v>5</v>
      </c>
      <c r="F3" s="4">
        <f>D3*E3</f>
      </c>
      <c r="G3" s="3" t="inlineStr">
        <is>
          <t xml:space="preserve">AA 工艺锁定，二供 Q-Tech 同步打样；MTF 抽检 100%</t>
        </is>
      </c>
    </row>
    <row r="4">
      <c r="A4" s="5" t="n">
        <v>3</v>
      </c>
      <c r="B4" s="3" t="inlineStr">
        <is>
          <t xml:space="preserve">Battery 厂质量不一致</t>
        </is>
      </c>
      <c r="C4" s="3" t="inlineStr">
        <is>
          <t xml:space="preserve">27</t>
        </is>
      </c>
      <c r="D4" s="5" t="n">
        <v>3</v>
      </c>
      <c r="E4" s="5" t="n">
        <v>5</v>
      </c>
      <c r="F4" s="4">
        <f>D4*E4</f>
      </c>
      <c r="G4" s="3" t="inlineStr">
        <is>
          <t xml:space="preserve">ATL 主供 + EVE 备供；UN38.3 各厂分别送测</t>
        </is>
      </c>
    </row>
    <row r="5">
      <c r="A5" s="5" t="n">
        <v>4</v>
      </c>
      <c r="B5" s="3" t="inlineStr">
        <is>
          <t xml:space="preserve">PCB Rigid-Flex 良率</t>
        </is>
      </c>
      <c r="C5" s="3" t="inlineStr">
        <is>
          <t xml:space="preserve">44</t>
        </is>
      </c>
      <c r="D5" s="5" t="n">
        <v>3</v>
      </c>
      <c r="E5" s="5" t="n">
        <v>4</v>
      </c>
      <c r="F5" s="4">
        <f>D5*E5</f>
      </c>
      <c r="G5" s="3" t="inlineStr">
        <is>
          <t xml:space="preserve">EVT 起 3 家询价；折弯半径 / 铜厚提前与 PCB 厂联评</t>
        </is>
      </c>
    </row>
    <row r="6">
      <c r="A6" s="5" t="n">
        <v>5</v>
      </c>
      <c r="B6" s="3" t="inlineStr">
        <is>
          <t xml:space="preserve">PMIC freeze 后无法替换</t>
        </is>
      </c>
      <c r="C6" s="3" t="inlineStr">
        <is>
          <t xml:space="preserve">25</t>
        </is>
      </c>
      <c r="D6" s="5" t="n">
        <v>2</v>
      </c>
      <c r="E6" s="5" t="n">
        <v>5</v>
      </c>
      <c r="F6" s="4">
        <f>D6*E6</f>
      </c>
      <c r="G6" s="3" t="inlineStr">
        <is>
          <t xml:space="preserve">EVT 阶段务必单押；Layout 预留二供 Footprint 合并方案</t>
        </is>
      </c>
    </row>
    <row r="7">
      <c r="A7" s="5" t="n">
        <v>6</v>
      </c>
      <c r="B7" s="3" t="inlineStr">
        <is>
          <t xml:space="preserve">FCC/CE 一次过不了</t>
        </is>
      </c>
      <c r="C7" s="3" t="inlineStr">
        <is>
          <t xml:space="preserve">37, 38</t>
        </is>
      </c>
      <c r="D7" s="5" t="n">
        <v>3</v>
      </c>
      <c r="E7" s="5" t="n">
        <v>4</v>
      </c>
      <c r="F7" s="4">
        <f>D7*E7</f>
      </c>
      <c r="G7" s="3" t="inlineStr">
        <is>
          <t xml:space="preserve">EVT 末做 Pre-Compliance；π 型匹配电路保留</t>
        </is>
      </c>
    </row>
    <row r="8">
      <c r="A8" s="5" t="n">
        <v>7</v>
      </c>
      <c r="B8" s="3" t="inlineStr">
        <is>
          <t xml:space="preserve">防水 IP67 量产漏失</t>
        </is>
      </c>
      <c r="C8" s="3" t="inlineStr">
        <is>
          <t xml:space="preserve">47-50, 19</t>
        </is>
      </c>
      <c r="D8" s="5" t="n">
        <v>4</v>
      </c>
      <c r="E8" s="5" t="n">
        <v>4</v>
      </c>
      <c r="F8" s="4">
        <f>D8*E8</f>
      </c>
      <c r="G8" s="3" t="inlineStr">
        <is>
          <t xml:space="preserve">100% 气密测试 + 抽检 IPX7 浸水</t>
        </is>
      </c>
    </row>
    <row r="9">
      <c r="A9" s="5" t="n">
        <v>8</v>
      </c>
      <c r="B9" s="3" t="inlineStr">
        <is>
          <t xml:space="preserve">Pogo Pin 寿命 &lt; 10k 次</t>
        </is>
      </c>
      <c r="C9" s="3" t="inlineStr">
        <is>
          <t xml:space="preserve">31, 32</t>
        </is>
      </c>
      <c r="D9" s="5" t="n">
        <v>2</v>
      </c>
      <c r="E9" s="5" t="n">
        <v>4</v>
      </c>
      <c r="F9" s="4">
        <f>D9*E9</f>
      </c>
      <c r="G9" s="3" t="inlineStr">
        <is>
          <t xml:space="preserve">进口 Mill-Max 主供，国产二供寿命单独验证</t>
        </is>
      </c>
    </row>
    <row r="10">
      <c r="A10" s="5" t="n">
        <v>9</v>
      </c>
      <c r="B10" s="3" t="inlineStr">
        <is>
          <t xml:space="preserve">ID 与 MD 公差冲突</t>
        </is>
      </c>
      <c r="C10" s="3" t="inlineStr">
        <is>
          <t xml:space="preserve">47, 48</t>
        </is>
      </c>
      <c r="D10" s="5" t="n">
        <v>3</v>
      </c>
      <c r="E10" s="5" t="n">
        <v>3</v>
      </c>
      <c r="F10" s="4">
        <f>D10*E10</f>
      </c>
      <c r="G10" s="3" t="inlineStr">
        <is>
          <t xml:space="preserve">MD 工程师从 ID 第 2 周介入做可行性评审</t>
        </is>
      </c>
    </row>
    <row r="11">
      <c r="A11" s="5" t="n">
        <v>10</v>
      </c>
      <c r="B11" s="3" t="inlineStr">
        <is>
          <t xml:space="preserve">模具改模 / 钢模废模</t>
        </is>
      </c>
      <c r="C11" s="3" t="inlineStr">
        <is>
          <t xml:space="preserve">47, 48</t>
        </is>
      </c>
      <c r="D11" s="5" t="n">
        <v>3</v>
      </c>
      <c r="E11" s="5" t="n">
        <v>5</v>
      </c>
      <c r="F11" s="4">
        <f>D11*E11</f>
      </c>
      <c r="G11" s="3" t="inlineStr">
        <is>
          <t xml:space="preserve">DVT 走软模，PVT 才上钢模；3D 打印验证 2 轮以上</t>
        </is>
      </c>
    </row>
  </sheetData>
</worksheet>
</file>

<file path=xl/worksheets/sheet7.xml><?xml version="1.0" encoding="utf-8"?>
<worksheet xmlns="http://schemas.openxmlformats.org/spreadsheetml/2006/main">
  <cols>
    <col min="1" max="1" width="16" customWidth="1"/>
    <col min="2" max="2" width="100" customWidth="1"/>
  </cols>
  <sheetData>
    <row r="1" ht="32" customHeight="1">
      <c r="A1" s="1" t="inlineStr">
        <is>
          <t xml:space="preserve">Notes / Avoid-Pits Checklist for using this BOM</t>
        </is>
      </c>
      <c r="B1" s="1"/>
    </row>
    <row r="2">
      <c r="A2" s="0"/>
      <c r="B2" s="0"/>
    </row>
    <row r="3">
      <c r="A3" s="14" t="inlineStr">
        <is>
          <t xml:space="preserve">Convention</t>
        </is>
      </c>
      <c r="B3" s="3" t="inlineStr">
        <is>
          <t xml:space="preserve">所有单价均为 10K MOQ 含税到岸价 (USD)。EVT/DVT 阶段实际单价请上浮 30~80%。</t>
        </is>
      </c>
    </row>
    <row r="4">
      <c r="A4" s="14" t="inlineStr">
        <is>
          <t xml:space="preserve">Convention</t>
        </is>
      </c>
      <c r="B4" s="3" t="inlineStr">
        <is>
          <t xml:space="preserve">Tier T1 = 战略料 (单点失效会卡死项目)；T2 = 标准件 (有 2+ 二供)；T3 = 通用件。</t>
        </is>
      </c>
    </row>
    <row r="5">
      <c r="A5" s="14" t="inlineStr">
        <is>
          <t xml:space="preserve">Convention</t>
        </is>
      </c>
      <c r="B5" s="3" t="inlineStr">
        <is>
          <t xml:space="preserve">Risk = 量产端缺料、良率、价格波动综合评估。High 项必须周报跟踪。</t>
        </is>
      </c>
    </row>
    <row r="6">
      <c r="A6" s="14" t="inlineStr">
        <is>
          <t xml:space="preserve">Convention</t>
        </is>
      </c>
      <c r="B6" s="3" t="inlineStr">
        <is>
          <t xml:space="preserve">Qty=0 的行表示该料目前不选用 (备选/可选)，但 PCB Layout 须保留 Footprint。</t>
        </is>
      </c>
    </row>
    <row r="7">
      <c r="A7" s="14" t="inlineStr">
        <is>
          <t xml:space="preserve">Avoid-Pit</t>
        </is>
      </c>
      <c r="B7" s="3" t="inlineStr">
        <is>
          <t xml:space="preserve">SoC 与 Sensor 的 Tuning 包是绑定的；切换主控会丢失 6-10 周 ISP 调试。EVT 双方案要等 Tuning 各自跑通再 PK。</t>
        </is>
      </c>
    </row>
    <row r="8">
      <c r="A8" s="14" t="inlineStr">
        <is>
          <t xml:space="preserve">Avoid-Pit</t>
        </is>
      </c>
      <c r="B8" s="3" t="inlineStr">
        <is>
          <t xml:space="preserve">PMIC 一旦 Layout freeze 极难替换，单押 1 颗，但 EVT 阶段验静态电流必须用 µA 级源表实测，不信 datasheet typ 值。</t>
        </is>
      </c>
    </row>
    <row r="9">
      <c r="A9" s="14" t="inlineStr">
        <is>
          <t xml:space="preserve">Avoid-Pit</t>
        </is>
      </c>
      <c r="B9" s="3" t="inlineStr">
        <is>
          <t xml:space="preserve">Lens AA 工艺单价不可省。普通 MTF 模组在 1.0µm sensor 上良率 &lt; 70%。</t>
        </is>
      </c>
    </row>
    <row r="10">
      <c r="A10" s="14" t="inlineStr">
        <is>
          <t xml:space="preserve">Avoid-Pit</t>
        </is>
      </c>
      <c r="B10" s="3" t="inlineStr">
        <is>
          <t xml:space="preserve">Battery 任何换厂都要重过 UN38.3 (~$3000, 6 周)，不得在 PVT 后切换。</t>
        </is>
      </c>
    </row>
    <row r="11">
      <c r="A11" s="14" t="inlineStr">
        <is>
          <t xml:space="preserve">Avoid-Pit</t>
        </is>
      </c>
      <c r="B11" s="3" t="inlineStr">
        <is>
          <t xml:space="preserve">PCB Rigid-Flex 折弯半径 &lt; 6×板厚会拉低良率，与 PCB 厂在 EE Layout 第一周就联评。</t>
        </is>
      </c>
    </row>
    <row r="12">
      <c r="A12" s="14" t="inlineStr">
        <is>
          <t xml:space="preserve">Avoid-Pit</t>
        </is>
      </c>
      <c r="B12" s="3" t="inlineStr">
        <is>
          <t xml:space="preserve">天线净空区 (Antenna Keep-Out) 在 ID 第一稿就要 hold 住，金属外壳必须开塑料窗。</t>
        </is>
      </c>
    </row>
    <row r="13">
      <c r="A13" s="14" t="inlineStr">
        <is>
          <t xml:space="preserve">Avoid-Pit</t>
        </is>
      </c>
      <c r="B13" s="3" t="inlineStr">
        <is>
          <t xml:space="preserve">EVT 末必跑 Pre-Compliance (FCC/CE/SRRC)，¥1.5-3 万一次比 DVT 后翻车便宜 10 倍。</t>
        </is>
      </c>
    </row>
    <row r="14">
      <c r="A14" s="14" t="inlineStr">
        <is>
          <t xml:space="preserve">Avoid-Pit</t>
        </is>
      </c>
      <c r="B14" s="3" t="inlineStr">
        <is>
          <t xml:space="preserve">DVT 走软模 (¥45K)，PVT 才上钢模 (¥110K)。先开钢模再改结构 = 报废一套模具。</t>
        </is>
      </c>
    </row>
    <row r="15">
      <c r="A15" s="14" t="inlineStr">
        <is>
          <t xml:space="preserve">Avoid-Pit</t>
        </is>
      </c>
      <c r="B15" s="3" t="inlineStr">
        <is>
          <t xml:space="preserve">Pogo Pin 寿命要按 10K 次实测，国产二供 (Xinyi/Lianzhan) 必须独立验证。</t>
        </is>
      </c>
    </row>
    <row r="16">
      <c r="A16" s="14" t="inlineStr">
        <is>
          <t xml:space="preserve">Avoid-Pit</t>
        </is>
      </c>
      <c r="B16" s="3" t="inlineStr">
        <is>
          <t xml:space="preserve">IP67 量产 100% 做气密 (差压法 &lt; 0.5 kPa/min)；IPX7 浸水按 AQL 0.65 抽检。</t>
        </is>
      </c>
    </row>
    <row r="17">
      <c r="A17" s="14" t="inlineStr">
        <is>
          <t xml:space="preserve">Avoid-Pit</t>
        </is>
      </c>
      <c r="B17" s="3" t="inlineStr">
        <is>
          <t xml:space="preserve">色差 (CMF ΔE) 必须明文写进 PO，&lt;= 1.5；否则不同模穴出色不一致量产时退货困难。</t>
        </is>
      </c>
    </row>
  </sheetData>
  <mergeCells count="1">
    <mergeCell ref="A1:B1"/>
  </mergeCells>
</worksheet>
</file>